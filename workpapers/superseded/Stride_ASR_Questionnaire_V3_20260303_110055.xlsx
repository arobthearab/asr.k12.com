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coring Model" sheetId="4" state="visible" r:id="rId4"/>
  </sheets>
  <definedNames>
    <definedName name="_xlnm._FilterDatabase" localSheetId="1" hidden="1">'Questionnaire'!$A$1:$G$1</definedName>
    <definedName name="_xlnm.Print_Titles" localSheetId="1">'Questionnaire'!$1:$1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2E7D32"/>
      <sz val="18"/>
    </font>
    <font>
      <name val="Calibri"/>
      <b val="1"/>
      <color rgb="001565C0"/>
      <sz val="12"/>
    </font>
    <font>
      <b val="1"/>
      <sz val="12"/>
    </font>
    <font>
      <name val="Consolas"/>
      <sz val="10"/>
    </font>
    <font>
      <i val="1"/>
      <color rgb="00757575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565C0"/>
      <sz val="10"/>
    </font>
    <font>
      <name val="Calibri"/>
      <sz val="10"/>
    </font>
    <font>
      <b val="1"/>
      <sz val="9"/>
    </font>
    <font>
      <i val="1"/>
      <color rgb="00757575"/>
      <sz val="10"/>
    </font>
    <font>
      <b val="1"/>
    </font>
    <font>
      <color rgb="00757575"/>
    </font>
    <font>
      <b val="1"/>
      <sz val="10"/>
    </font>
    <font>
      <color rgb="00757575"/>
      <sz val="9"/>
    </font>
    <font>
      <b val="1"/>
      <color rgb="00C62828"/>
      <sz val="12"/>
    </font>
    <font>
      <b val="1"/>
      <sz val="11"/>
    </font>
    <font>
      <name val="Consolas"/>
      <sz val="11"/>
    </font>
    <font>
      <name val="Consolas"/>
      <sz val="9"/>
    </font>
  </fonts>
  <fills count="16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F1F8E9"/>
      </patternFill>
    </fill>
    <fill>
      <patternFill patternType="solid">
        <fgColor rgb="00FFF9C4"/>
      </patternFill>
    </fill>
  </fills>
  <borders count="10">
    <border>
      <left/>
      <right/>
      <top/>
      <bottom/>
      <diagonal/>
    </border>
    <border>
      <bottom style="medium">
        <color rgb="00757575"/>
      </bottom>
    </border>
    <border>
      <left style="thin">
        <color rgb="00BDBDBD"/>
      </left>
      <right style="thin">
        <color rgb="00BDBDBD"/>
      </right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  <border>
      <left style="thin">
        <color rgb="00BDBDBD"/>
      </left>
      <right style="thin">
        <color rgb="00BDBDBD"/>
      </right>
      <top style="medium">
        <color rgb="00757575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medium">
        <color rgb="00757575"/>
      </top>
      <bottom style="medium">
        <color rgb="00757575"/>
      </bottom>
    </border>
    <border>
      <bottom style="thin">
        <color rgb="00757575"/>
      </bottom>
    </border>
    <border>
      <left/>
      <right/>
      <top/>
      <bottom style="thin">
        <color rgb="00757575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vertical="top" wrapText="1"/>
    </xf>
    <xf numFmtId="0" fontId="10" fillId="3" borderId="6" applyAlignment="1" pivotButton="0" quotePrefix="0" xfId="0">
      <alignment horizontal="center" vertical="center"/>
    </xf>
    <xf numFmtId="0" fontId="0" fillId="4" borderId="6" applyAlignment="1" pivotButton="0" quotePrefix="0" xfId="0">
      <alignment vertical="top" wrapText="1"/>
    </xf>
    <xf numFmtId="164" fontId="0" fillId="0" borderId="6" applyAlignment="1" pivotButton="0" quotePrefix="0" xfId="0">
      <alignment horizontal="center" vertical="center"/>
    </xf>
    <xf numFmtId="0" fontId="0" fillId="5" borderId="6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9" fillId="5" borderId="2" applyAlignment="1" pivotButton="0" quotePrefix="0" xfId="0">
      <alignment vertical="top" wrapText="1"/>
    </xf>
    <xf numFmtId="0" fontId="1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top" wrapText="1"/>
    </xf>
    <xf numFmtId="164" fontId="0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top" wrapText="1"/>
    </xf>
    <xf numFmtId="0" fontId="10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7" fillId="8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 wrapText="1"/>
    </xf>
    <xf numFmtId="0" fontId="9" fillId="8" borderId="6" applyAlignment="1" pivotButton="0" quotePrefix="0" xfId="0">
      <alignment vertical="top" wrapText="1"/>
    </xf>
    <xf numFmtId="0" fontId="10" fillId="7" borderId="6" applyAlignment="1" pivotButton="0" quotePrefix="0" xfId="0">
      <alignment horizontal="center" vertical="center"/>
    </xf>
    <xf numFmtId="0" fontId="0" fillId="8" borderId="6" applyAlignment="1" pivotButton="0" quotePrefix="0" xfId="0">
      <alignment vertical="top" wrapText="1"/>
    </xf>
    <xf numFmtId="0" fontId="7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0" fillId="7" borderId="2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vertical="top" wrapText="1"/>
    </xf>
    <xf numFmtId="0" fontId="0" fillId="9" borderId="6" applyAlignment="1" pivotButton="0" quotePrefix="0" xfId="0">
      <alignment vertical="top" wrapText="1"/>
    </xf>
    <xf numFmtId="0" fontId="7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7" fillId="10" borderId="6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 wrapText="1"/>
    </xf>
    <xf numFmtId="0" fontId="9" fillId="10" borderId="6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7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7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horizontal="center" vertical="center" wrapText="1"/>
    </xf>
    <xf numFmtId="0" fontId="9" fillId="11" borderId="6" applyAlignment="1" pivotButton="0" quotePrefix="0" xfId="0">
      <alignment vertical="top" wrapText="1"/>
    </xf>
    <xf numFmtId="0" fontId="0" fillId="11" borderId="6" applyAlignment="1" pivotButton="0" quotePrefix="0" xfId="0">
      <alignment vertical="top" wrapText="1"/>
    </xf>
    <xf numFmtId="0" fontId="7" fillId="11" borderId="2" applyAlignment="1" pivotButton="0" quotePrefix="0" xfId="0">
      <alignment horizontal="center" vertical="center"/>
    </xf>
    <xf numFmtId="0" fontId="9" fillId="11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7" fillId="12" borderId="6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 wrapText="1"/>
    </xf>
    <xf numFmtId="0" fontId="9" fillId="12" borderId="6" applyAlignment="1" pivotButton="0" quotePrefix="0" xfId="0">
      <alignment vertical="top" wrapText="1"/>
    </xf>
    <xf numFmtId="0" fontId="0" fillId="12" borderId="6" applyAlignment="1" pivotButton="0" quotePrefix="0" xfId="0">
      <alignment vertical="top" wrapText="1"/>
    </xf>
    <xf numFmtId="0" fontId="7" fillId="12" borderId="2" applyAlignment="1" pivotButton="0" quotePrefix="0" xfId="0">
      <alignment horizontal="center" vertical="center"/>
    </xf>
    <xf numFmtId="0" fontId="9" fillId="12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7" fillId="14" borderId="6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vertical="top" wrapText="1"/>
    </xf>
    <xf numFmtId="0" fontId="10" fillId="13" borderId="6" applyAlignment="1" pivotButton="0" quotePrefix="0" xfId="0">
      <alignment horizontal="center" vertical="center"/>
    </xf>
    <xf numFmtId="0" fontId="0" fillId="14" borderId="6" applyAlignment="1" pivotButton="0" quotePrefix="0" xfId="0">
      <alignment vertical="top" wrapText="1"/>
    </xf>
    <xf numFmtId="0" fontId="7" fillId="14" borderId="2" applyAlignment="1" pivotButton="0" quotePrefix="0" xfId="0">
      <alignment horizontal="center" vertical="center"/>
    </xf>
    <xf numFmtId="0" fontId="9" fillId="14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5" borderId="2" pivotButton="0" quotePrefix="0" xfId="0"/>
    <xf numFmtId="0" fontId="0" fillId="5" borderId="2" applyAlignment="1" pivotButton="0" quotePrefix="0" xfId="0">
      <alignment horizontal="center" vertical="center"/>
    </xf>
    <xf numFmtId="1" fontId="0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 vertical="center"/>
    </xf>
    <xf numFmtId="0" fontId="15" fillId="5" borderId="2" pivotButton="0" quotePrefix="0" xfId="0"/>
    <xf numFmtId="0" fontId="14" fillId="8" borderId="2" pivotButton="0" quotePrefix="0" xfId="0"/>
    <xf numFmtId="0" fontId="0" fillId="8" borderId="2" applyAlignment="1" pivotButton="0" quotePrefix="0" xfId="0">
      <alignment horizontal="center" vertical="center"/>
    </xf>
    <xf numFmtId="1" fontId="0" fillId="8" borderId="2" applyAlignment="1" pivotButton="0" quotePrefix="0" xfId="0">
      <alignment horizontal="center" vertical="center"/>
    </xf>
    <xf numFmtId="164" fontId="0" fillId="8" borderId="2" applyAlignment="1" pivotButton="0" quotePrefix="0" xfId="0">
      <alignment horizontal="center" vertical="center"/>
    </xf>
    <xf numFmtId="0" fontId="15" fillId="8" borderId="2" pivotButton="0" quotePrefix="0" xfId="0"/>
    <xf numFmtId="0" fontId="14" fillId="9" borderId="2" pivotButton="0" quotePrefix="0" xfId="0"/>
    <xf numFmtId="0" fontId="0" fillId="9" borderId="2" applyAlignment="1" pivotButton="0" quotePrefix="0" xfId="0">
      <alignment horizontal="center" vertical="center"/>
    </xf>
    <xf numFmtId="1" fontId="0" fillId="9" borderId="2" applyAlignment="1" pivotButton="0" quotePrefix="0" xfId="0">
      <alignment horizontal="center" vertical="center"/>
    </xf>
    <xf numFmtId="164" fontId="0" fillId="9" borderId="2" applyAlignment="1" pivotButton="0" quotePrefix="0" xfId="0">
      <alignment horizontal="center" vertical="center"/>
    </xf>
    <xf numFmtId="0" fontId="15" fillId="9" borderId="2" pivotButton="0" quotePrefix="0" xfId="0"/>
    <xf numFmtId="0" fontId="14" fillId="10" borderId="2" pivotButton="0" quotePrefix="0" xfId="0"/>
    <xf numFmtId="0" fontId="0" fillId="10" borderId="2" applyAlignment="1" pivotButton="0" quotePrefix="0" xfId="0">
      <alignment horizontal="center" vertical="center"/>
    </xf>
    <xf numFmtId="1" fontId="0" fillId="10" borderId="2" applyAlignment="1" pivotButton="0" quotePrefix="0" xfId="0">
      <alignment horizontal="center" vertical="center"/>
    </xf>
    <xf numFmtId="164" fontId="0" fillId="10" borderId="2" applyAlignment="1" pivotButton="0" quotePrefix="0" xfId="0">
      <alignment horizontal="center" vertical="center"/>
    </xf>
    <xf numFmtId="0" fontId="15" fillId="10" borderId="2" pivotButton="0" quotePrefix="0" xfId="0"/>
    <xf numFmtId="0" fontId="14" fillId="11" borderId="2" pivotButton="0" quotePrefix="0" xfId="0"/>
    <xf numFmtId="0" fontId="0" fillId="11" borderId="2" applyAlignment="1" pivotButton="0" quotePrefix="0" xfId="0">
      <alignment horizontal="center" vertical="center"/>
    </xf>
    <xf numFmtId="1" fontId="0" fillId="11" borderId="2" applyAlignment="1" pivotButton="0" quotePrefix="0" xfId="0">
      <alignment horizontal="center" vertical="center"/>
    </xf>
    <xf numFmtId="164" fontId="0" fillId="11" borderId="2" applyAlignment="1" pivotButton="0" quotePrefix="0" xfId="0">
      <alignment horizontal="center" vertical="center"/>
    </xf>
    <xf numFmtId="0" fontId="15" fillId="11" borderId="2" pivotButton="0" quotePrefix="0" xfId="0"/>
    <xf numFmtId="0" fontId="14" fillId="12" borderId="2" pivotButton="0" quotePrefix="0" xfId="0"/>
    <xf numFmtId="0" fontId="0" fillId="12" borderId="2" applyAlignment="1" pivotButton="0" quotePrefix="0" xfId="0">
      <alignment horizontal="center" vertical="center"/>
    </xf>
    <xf numFmtId="1" fontId="0" fillId="12" borderId="2" applyAlignment="1" pivotButton="0" quotePrefix="0" xfId="0">
      <alignment horizontal="center" vertical="center"/>
    </xf>
    <xf numFmtId="164" fontId="0" fillId="12" borderId="2" applyAlignment="1" pivotButton="0" quotePrefix="0" xfId="0">
      <alignment horizontal="center" vertical="center"/>
    </xf>
    <xf numFmtId="0" fontId="15" fillId="12" borderId="2" pivotButton="0" quotePrefix="0" xfId="0"/>
    <xf numFmtId="0" fontId="14" fillId="14" borderId="2" pivotButton="0" quotePrefix="0" xfId="0"/>
    <xf numFmtId="0" fontId="0" fillId="14" borderId="2" applyAlignment="1" pivotButton="0" quotePrefix="0" xfId="0">
      <alignment horizontal="center" vertical="center"/>
    </xf>
    <xf numFmtId="1" fontId="0" fillId="14" borderId="2" applyAlignment="1" pivotButton="0" quotePrefix="0" xfId="0">
      <alignment horizontal="center" vertical="center"/>
    </xf>
    <xf numFmtId="164" fontId="0" fillId="14" borderId="2" applyAlignment="1" pivotButton="0" quotePrefix="0" xfId="0">
      <alignment horizontal="center" vertical="center"/>
    </xf>
    <xf numFmtId="0" fontId="15" fillId="14" borderId="2" pivotButton="0" quotePrefix="0" xfId="0"/>
    <xf numFmtId="0" fontId="16" fillId="15" borderId="7" pivotButton="0" quotePrefix="0" xfId="0"/>
    <xf numFmtId="0" fontId="0" fillId="15" borderId="7" applyAlignment="1" pivotButton="0" quotePrefix="0" xfId="0">
      <alignment horizontal="center" vertical="center"/>
    </xf>
    <xf numFmtId="1" fontId="0" fillId="15" borderId="7" applyAlignment="1" pivotButton="0" quotePrefix="0" xfId="0">
      <alignment horizontal="center" vertical="center"/>
    </xf>
    <xf numFmtId="164" fontId="0" fillId="15" borderId="7" applyAlignment="1" pivotButton="0" quotePrefix="0" xfId="0">
      <alignment horizontal="center" vertical="center"/>
    </xf>
    <xf numFmtId="0" fontId="0" fillId="15" borderId="7" pivotButton="0" quotePrefix="0" xfId="0"/>
    <xf numFmtId="0" fontId="17" fillId="0" borderId="0" pivotButton="0" quotePrefix="0" xfId="0"/>
    <xf numFmtId="0" fontId="0" fillId="8" borderId="0" applyAlignment="1" pivotButton="0" quotePrefix="0" xfId="0">
      <alignment horizontal="center" vertical="center"/>
    </xf>
    <xf numFmtId="0" fontId="12" fillId="8" borderId="0" pivotButton="0" quotePrefix="0" xfId="0"/>
    <xf numFmtId="0" fontId="0" fillId="8" borderId="0" pivotButton="0" quotePrefix="0" xfId="0"/>
    <xf numFmtId="0" fontId="0" fillId="9" borderId="0" applyAlignment="1" pivotButton="0" quotePrefix="0" xfId="0">
      <alignment horizontal="center" vertical="center"/>
    </xf>
    <xf numFmtId="0" fontId="12" fillId="9" borderId="0" pivotButton="0" quotePrefix="0" xfId="0"/>
    <xf numFmtId="0" fontId="0" fillId="9" borderId="0" pivotButton="0" quotePrefix="0" xfId="0"/>
    <xf numFmtId="0" fontId="0" fillId="3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0" fillId="7" borderId="0" applyAlignment="1" pivotButton="0" quotePrefix="0" xfId="0">
      <alignment horizontal="center" vertical="center"/>
    </xf>
    <xf numFmtId="0" fontId="12" fillId="7" borderId="0" pivotButton="0" quotePrefix="0" xfId="0"/>
    <xf numFmtId="0" fontId="0" fillId="7" borderId="0" pivotButton="0" quotePrefix="0" xfId="0"/>
    <xf numFmtId="0" fontId="14" fillId="0" borderId="0" pivotButton="0" quotePrefix="0" xfId="0"/>
    <xf numFmtId="0" fontId="0" fillId="4" borderId="8" pivotButton="0" quotePrefix="0" xfId="0"/>
    <xf numFmtId="0" fontId="0" fillId="0" borderId="9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2E7D32"/>
      </font>
      <fill>
        <patternFill patternType="solid">
          <fgColor rgb="00E8F5E9"/>
        </patternFill>
      </fill>
    </dxf>
    <dxf>
      <font>
        <b val="1"/>
      </font>
      <fill>
        <patternFill patternType="solid">
          <fgColor rgb="00FFF3E0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b val="1"/>
        <color rgb="00C62828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Stride Application Security Review — Questionnaire V3</t>
        </is>
      </c>
    </row>
    <row r="3">
      <c r="A3" s="2" t="inlineStr">
        <is>
          <t>Interactive Excel Workbook with Live RSK Scoring</t>
        </is>
      </c>
    </row>
    <row r="5">
      <c r="A5" s="3" t="inlineStr">
        <is>
          <t>PURPOSE</t>
        </is>
      </c>
    </row>
    <row r="6">
      <c r="A6" s="4" t="inlineStr">
        <is>
          <t>This workbook assesses the security posture of applications within the Stride technology portfolio. Each question maps to Stride ISP/IISP policies, NIST CSF 2.0 subcategories, and, where applicable, FERPA and SOX §404 ITGC requirements.</t>
        </is>
      </c>
    </row>
    <row r="7">
      <c r="A7" s="4" t="inlineStr">
        <is>
          <t>For each question the assessor selects exactly one answer from a dropdown. The workbook automatically computes the RSK measurement per question, the RSK aggregate per domain, and the overall questionnaire-level RSK.</t>
        </is>
      </c>
    </row>
    <row r="9">
      <c r="A9" s="3" t="inlineStr">
        <is>
          <t>HOW TO COMPLETE</t>
        </is>
      </c>
    </row>
    <row r="10">
      <c r="A10" s="4" t="inlineStr">
        <is>
          <t>1.  Go to the 'Questionnaire' tab.</t>
        </is>
      </c>
    </row>
    <row r="11">
      <c r="A11" s="4" t="inlineStr">
        <is>
          <t>2.  For each question, click the Answer cell (yellow column E) and choose from the dropdown.</t>
        </is>
      </c>
    </row>
    <row r="12">
      <c r="A12" s="4" t="inlineStr">
        <is>
          <t>3.  The Measurement column (F) auto-calculates immediately.</t>
        </is>
      </c>
    </row>
    <row r="13">
      <c r="A13" s="4" t="inlineStr">
        <is>
          <t>4.  Use the Notes column (G) for justifications or context.</t>
        </is>
      </c>
    </row>
    <row r="14">
      <c r="A14" s="4" t="inlineStr">
        <is>
          <t>5.  When finished, review the 'Summary' tab for domain and overall risk scores.</t>
        </is>
      </c>
    </row>
    <row r="16">
      <c r="A16" s="3" t="inlineStr">
        <is>
          <t>SCORING MODEL</t>
        </is>
      </c>
    </row>
    <row r="17">
      <c r="A17" s="4" t="inlineStr">
        <is>
          <t>Each answer choice carries an ordinal raw score (1–100) reflecting maturity from best to worst. The raw score is multiplied by the question's weight tier (Critical=4, High=3, Medium=2, Info=1) divided by 4 to produce a weight-adjusted measurement in (0, 100].</t>
        </is>
      </c>
    </row>
    <row r="18">
      <c r="A18" s="5" t="inlineStr">
        <is>
          <t xml:space="preserve">  measurement = raw_score × (weight / 4)</t>
        </is>
      </c>
    </row>
    <row r="19">
      <c r="A19" s="4" t="inlineStr"/>
    </row>
    <row r="20">
      <c r="A20" s="4" t="inlineStr">
        <is>
          <t>Measurements are combined into a domain or document aggregate using the RSK/STORM diminishing-impact composite function:</t>
        </is>
      </c>
    </row>
    <row r="21">
      <c r="A21" s="5" t="inlineStr">
        <is>
          <t xml:space="preserve">  f(V, a) = ⌈Σ V_j / a^j⌉     where V sorted descending, a = 4</t>
        </is>
      </c>
    </row>
    <row r="22">
      <c r="A22" s="4" t="inlineStr">
        <is>
          <t>This ensures the most severe finding dominates the aggregate, preventing inflation from many minor gaps.</t>
        </is>
      </c>
    </row>
    <row r="24">
      <c r="A24" s="3" t="inlineStr">
        <is>
          <t>WEIGHT TIERS</t>
        </is>
      </c>
    </row>
    <row r="25">
      <c r="A25" s="4" t="inlineStr">
        <is>
          <t>Critical (4) — Fundamental control. Gap requires immediate CISO notification.</t>
        </is>
      </c>
    </row>
    <row r="26">
      <c r="A26" s="4" t="inlineStr">
        <is>
          <t>High     (3) — Important control. Gap requires 30-day remediation plan.</t>
        </is>
      </c>
    </row>
    <row r="27">
      <c r="A27" s="4" t="inlineStr">
        <is>
          <t>Medium   (2) — Supporting control. Address in next planning cycle.</t>
        </is>
      </c>
    </row>
    <row r="28">
      <c r="A28" s="4" t="inlineStr">
        <is>
          <t>Info     (1) — Contextual / informational only.</t>
        </is>
      </c>
    </row>
    <row r="30">
      <c r="A30" s="3" t="inlineStr">
        <is>
          <t>RISK RATING SCALE</t>
        </is>
      </c>
    </row>
    <row r="31">
      <c r="A31" s="4" t="inlineStr">
        <is>
          <t xml:space="preserve">  0–25%   Low       — Strong posture, controls mature and effective</t>
        </is>
      </c>
    </row>
    <row r="32">
      <c r="A32" s="4" t="inlineStr">
        <is>
          <t xml:space="preserve"> 26–50%   Moderate  — Adequate posture, minor gaps with compensating controls</t>
        </is>
      </c>
    </row>
    <row r="33">
      <c r="A33" s="4" t="inlineStr">
        <is>
          <t xml:space="preserve"> 51–75%   Elevated  — Material gaps requiring remediation plans</t>
        </is>
      </c>
    </row>
    <row r="34">
      <c r="A34" s="4" t="inlineStr">
        <is>
          <t xml:space="preserve"> 76–100%  Critical  — Fundamental controls missing or ineffective</t>
        </is>
      </c>
    </row>
    <row r="36">
      <c r="A36" s="6" t="inlineStr">
        <is>
          <t>Document Date: 2026-03-03</t>
        </is>
      </c>
    </row>
    <row r="37">
      <c r="A37" s="6" t="inlineStr">
        <is>
          <t>Classification: Confidential</t>
        </is>
      </c>
    </row>
    <row r="38">
      <c r="A38" s="6" t="inlineStr">
        <is>
          <t>Supersedes: ASR Checklist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5" customWidth="1" min="1" max="1"/>
    <col width="28" customWidth="1" min="2" max="2"/>
    <col width="58" customWidth="1" min="3" max="3"/>
    <col width="10" customWidth="1" min="4" max="4"/>
    <col width="42" customWidth="1" min="5" max="5"/>
    <col width="13" customWidth="1" min="6" max="6"/>
    <col width="32" customWidth="1" min="7" max="7"/>
  </cols>
  <sheetData>
    <row r="1">
      <c r="A1" s="7" t="inlineStr">
        <is>
          <t>#</t>
        </is>
      </c>
      <c r="B1" s="7" t="inlineStr">
        <is>
          <t>Domain</t>
        </is>
      </c>
      <c r="C1" s="7" t="inlineStr">
        <is>
          <t>Question</t>
        </is>
      </c>
      <c r="D1" s="7" t="inlineStr">
        <is>
          <t>Weight</t>
        </is>
      </c>
      <c r="E1" s="7" t="inlineStr">
        <is>
          <t>Answer ▼</t>
        </is>
      </c>
      <c r="F1" s="7" t="inlineStr">
        <is>
          <t>Measurement</t>
        </is>
      </c>
      <c r="G1" s="7" t="inlineStr">
        <is>
          <t>Notes</t>
        </is>
      </c>
    </row>
    <row r="2" ht="32" customHeight="1">
      <c r="A2" s="8" t="n">
        <v>1</v>
      </c>
      <c r="B2" s="9" t="inlineStr">
        <is>
          <t>Governance and Program Management</t>
        </is>
      </c>
      <c r="C2" s="10" t="inlineStr">
        <is>
          <t>Does the application have a designated security owner or steward?</t>
        </is>
      </c>
      <c r="D2" s="11" t="inlineStr">
        <is>
          <t>High</t>
        </is>
      </c>
      <c r="E2" s="12" t="n"/>
      <c r="F2" s="13">
        <f>IF(E2="",0,IF(E2="Yes — named owner in CMDB",25,IF(E2="Yes — informal ownership",50,IF(E2="No — ownership not established",75,100)))*3/4)</f>
        <v/>
      </c>
      <c r="G2" s="14" t="n"/>
    </row>
    <row r="3" ht="32" customHeight="1">
      <c r="A3" s="15" t="n">
        <v>2</v>
      </c>
      <c r="B3" s="16" t="n"/>
      <c r="C3" s="17" t="inlineStr">
        <is>
          <t>Has a risk classification been assigned to this application?</t>
        </is>
      </c>
      <c r="D3" s="18" t="inlineStr">
        <is>
          <t>High</t>
        </is>
      </c>
      <c r="E3" s="19" t="n"/>
      <c r="F3" s="20">
        <f>IF(E3="",0,IF(E3="Yes — High/Critical",25,IF(E3="Yes — Medium",50,IF(E3="Yes — Low",75,100)))*3/4)</f>
        <v/>
      </c>
      <c r="G3" s="21" t="n"/>
    </row>
    <row r="4" ht="32" customHeight="1">
      <c r="A4" s="15" t="n">
        <v>3</v>
      </c>
      <c r="B4" s="16" t="n"/>
      <c r="C4" s="17" t="inlineStr">
        <is>
          <t>Is the application included in the organization's security policy scope?</t>
        </is>
      </c>
      <c r="D4" s="22" t="inlineStr">
        <is>
          <t>Medium</t>
        </is>
      </c>
      <c r="E4" s="19" t="n"/>
      <c r="F4" s="20">
        <f>IF(E4="",0,IF(E4="Yes — explicitly referenced",25,IF(E4="Yes — covered by umbrella policy",50,IF(E4="No — not in scope",75,100)))*2/4)</f>
        <v/>
      </c>
      <c r="G4" s="21" t="n"/>
    </row>
    <row r="5" ht="32" customHeight="1">
      <c r="A5" s="15" t="n">
        <v>4</v>
      </c>
      <c r="B5" s="16" t="n"/>
      <c r="C5" s="17" t="inlineStr">
        <is>
          <t>When was the last security review or assessment performed?</t>
        </is>
      </c>
      <c r="D5" s="18" t="inlineStr">
        <is>
          <t>High</t>
        </is>
      </c>
      <c r="E5" s="19" t="n"/>
      <c r="F5" s="20">
        <f>IF(E5="",0,IF(E5="Within 6 months",25,IF(E5="6–12 months ago",50,IF(E5="More than 12 months ago",75,100)))*3/4)</f>
        <v/>
      </c>
      <c r="G5" s="21" t="n"/>
    </row>
    <row r="6" ht="32" customHeight="1">
      <c r="A6" s="15" t="n">
        <v>5</v>
      </c>
      <c r="B6" s="16" t="n"/>
      <c r="C6" s="17" t="inlineStr">
        <is>
          <t>Does the application have documented data flow diagrams?</t>
        </is>
      </c>
      <c r="D6" s="22" t="inlineStr">
        <is>
          <t>Medium</t>
        </is>
      </c>
      <c r="E6" s="19" t="n"/>
      <c r="F6" s="20">
        <f>IF(E6="",0,IF(E6="Yes — current and reviewed",25,IF(E6="Yes — but outdated",50,IF(E6="No — not documented",75,100)))*2/4)</f>
        <v/>
      </c>
      <c r="G6" s="21" t="n"/>
    </row>
    <row r="7" ht="32" customHeight="1">
      <c r="A7" s="15" t="n">
        <v>6</v>
      </c>
      <c r="B7" s="16" t="n"/>
      <c r="C7" s="17" t="inlineStr">
        <is>
          <t>Has a RACI matrix been established for this application's security controls?</t>
        </is>
      </c>
      <c r="D7" s="18" t="inlineStr">
        <is>
          <t>High</t>
        </is>
      </c>
      <c r="E7" s="19" t="n"/>
      <c r="F7" s="20">
        <f>IF(E7="",0,IF(E7="Yes — documented and current",25,IF(E7="Yes — but outdated or incomplete",50,IF(E7="No — roles informally understood",75,100)))*3/4)</f>
        <v/>
      </c>
      <c r="G7" s="21" t="n"/>
    </row>
    <row r="8" ht="32" customHeight="1">
      <c r="A8" s="15" t="n">
        <v>7</v>
      </c>
      <c r="B8" s="16" t="n"/>
      <c r="C8" s="17" t="inlineStr">
        <is>
          <t>Are escalation paths and notification responsibilities documented for security incidents involving this application?</t>
        </is>
      </c>
      <c r="D8" s="18" t="inlineStr">
        <is>
          <t>High</t>
        </is>
      </c>
      <c r="E8" s="19" t="n"/>
      <c r="F8" s="20">
        <f>IF(E8="",0,IF(E8="Yes — RACI-aligned runbook with named contacts",25,IF(E8="Yes — general escalation via IRP",50,IF(E8="Partial — ad-hoc escalation only",75,100)))*3/4)</f>
        <v/>
      </c>
      <c r="G8" s="21" t="n"/>
    </row>
    <row r="9" ht="32" customHeight="1">
      <c r="A9" s="15" t="n">
        <v>8</v>
      </c>
      <c r="B9" s="16" t="n"/>
      <c r="C9" s="17" t="inlineStr">
        <is>
          <t>What is the business necessity classification for this application?</t>
        </is>
      </c>
      <c r="D9" s="22" t="inlineStr">
        <is>
          <t>Medium</t>
        </is>
      </c>
      <c r="E9" s="19" t="n"/>
      <c r="F9" s="20">
        <f>IF(E9="",0,IF(E9="KTLO — operationally required (MUST)",25,IF(E9="Business need — supports key objectives (SHOULD)",50,IF(E9="Nice to have — productivity enhancement (MAY)",75,100)))*2/4)</f>
        <v/>
      </c>
      <c r="G9" s="21" t="n"/>
    </row>
    <row r="10" ht="32" customHeight="1">
      <c r="A10" s="15" t="n">
        <v>9</v>
      </c>
      <c r="B10" s="16" t="n"/>
      <c r="C10" s="17" t="inlineStr">
        <is>
          <t>Which teams and departments are authorized to use this application?</t>
        </is>
      </c>
      <c r="D10" s="22" t="inlineStr">
        <is>
          <t>Medium</t>
        </is>
      </c>
      <c r="E10" s="19" t="n"/>
      <c r="F10" s="20">
        <f>IF(E10="",0,IF(E10="Enterprise-wide — all departments",25,IF(E10="Multiple departments — formally scoped",50,IF(E10="Single team or department",75,100)))*2/4)</f>
        <v/>
      </c>
      <c r="G10" s="21" t="n"/>
    </row>
    <row r="11" ht="32" customHeight="1">
      <c r="A11" s="15" t="n">
        <v>10</v>
      </c>
      <c r="B11" s="16" t="n"/>
      <c r="C11" s="17" t="inlineStr">
        <is>
          <t>Are productivity improvement estimates or benchmarks documented for this application?</t>
        </is>
      </c>
      <c r="D11" s="22" t="inlineStr">
        <is>
          <t>Medium</t>
        </is>
      </c>
      <c r="E11" s="19" t="n"/>
      <c r="F11" s="20">
        <f>IF(E11="",0,IF(E11="Yes — quantified with baseline metrics and KPIs",25,IF(E11="Yes — qualitative estimates documented",50,IF(E11="Informal understanding only",75,100)))*2/4)</f>
        <v/>
      </c>
      <c r="G11" s="21" t="n"/>
    </row>
    <row r="12" ht="32" customHeight="1">
      <c r="A12" s="15" t="n">
        <v>11</v>
      </c>
      <c r="B12" s="16" t="n"/>
      <c r="C12" s="17" t="inlineStr">
        <is>
          <t>Has legal counsel reviewed this application's terms of service, data handling, and intellectual property implications?</t>
        </is>
      </c>
      <c r="D12" s="18" t="inlineStr">
        <is>
          <t>High</t>
        </is>
      </c>
      <c r="E12" s="19" t="n"/>
      <c r="F12" s="20">
        <f>IF(E12="",0,IF(E12="Yes — reviewed and approved",25,IF(E12="Yes — reviewed with conditions or caveats",50,IF(E12="Review requested but not completed",75,100)))*3/4)</f>
        <v/>
      </c>
      <c r="G12" s="21" t="n"/>
    </row>
    <row r="13" ht="32" customHeight="1">
      <c r="A13" s="15" t="n">
        <v>12</v>
      </c>
      <c r="B13" s="23" t="n"/>
      <c r="C13" s="17" t="inlineStr">
        <is>
          <t>Has the application been reviewed and approved through the enterprise architecture governance process?</t>
        </is>
      </c>
      <c r="D13" s="18" t="inlineStr">
        <is>
          <t>High</t>
        </is>
      </c>
      <c r="E13" s="19" t="n"/>
      <c r="F13" s="20">
        <f>IF(E13="",0,IF(E13="Yes — approved with defined boundaries and controls",25,IF(E13="Yes — approved for limited or pilot use",50,IF(E13="Under review",75,100)))*3/4)</f>
        <v/>
      </c>
      <c r="G13" s="21" t="n"/>
    </row>
    <row r="14" ht="32" customHeight="1">
      <c r="A14" s="24" t="n">
        <v>13</v>
      </c>
      <c r="B14" s="25" t="inlineStr">
        <is>
          <t>Identity and Access Management</t>
        </is>
      </c>
      <c r="C14" s="26" t="inlineStr">
        <is>
          <t>What authentication mechanism does the application use?</t>
        </is>
      </c>
      <c r="D14" s="27" t="inlineStr">
        <is>
          <t>Critical</t>
        </is>
      </c>
      <c r="E14" s="12" t="n"/>
      <c r="F14" s="13">
        <f>IF(E14="",0,IF(E14="SSO with MFA (Entra ID)",25,IF(E14="SSO without MFA",50,IF(E14="Local authentication with MFA",75,100)))*4/4)</f>
        <v/>
      </c>
      <c r="G14" s="28" t="n"/>
    </row>
    <row r="15" ht="32" customHeight="1">
      <c r="A15" s="29" t="n">
        <v>14</v>
      </c>
      <c r="B15" s="16" t="n"/>
      <c r="C15" s="30" t="inlineStr">
        <is>
          <t>Are user roles and permissions based on the principle of least privilege?</t>
        </is>
      </c>
      <c r="D15" s="18" t="inlineStr">
        <is>
          <t>High</t>
        </is>
      </c>
      <c r="E15" s="19" t="n"/>
      <c r="F15" s="20">
        <f>IF(E15="",0,IF(E15="Yes — RBAC/ABAC enforced",25,IF(E15="Partially — some roles over-privileged",50,IF(E15="No — broad access grants",75,100)))*3/4)</f>
        <v/>
      </c>
      <c r="G15" s="31" t="n"/>
    </row>
    <row r="16" ht="32" customHeight="1">
      <c r="A16" s="29" t="n">
        <v>15</v>
      </c>
      <c r="B16" s="16" t="n"/>
      <c r="C16" s="30" t="inlineStr">
        <is>
          <t>How are service accounts and API keys managed?</t>
        </is>
      </c>
      <c r="D16" s="32" t="inlineStr">
        <is>
          <t>Critical</t>
        </is>
      </c>
      <c r="E16" s="19" t="n"/>
      <c r="F16" s="20">
        <f>IF(E16="",0,IF(E16="Vault/managed identities with rotation",25,IF(E16="Stored securely with manual rotation",50,IF(E16="Hard-coded or shared credentials",75,100)))*4/4)</f>
        <v/>
      </c>
      <c r="G16" s="31" t="n"/>
    </row>
    <row r="17" ht="32" customHeight="1">
      <c r="A17" s="29" t="n">
        <v>16</v>
      </c>
      <c r="B17" s="16" t="n"/>
      <c r="C17" s="30" t="inlineStr">
        <is>
          <t>Is there automated provisioning/deprovisioning tied to HR events?</t>
        </is>
      </c>
      <c r="D17" s="18" t="inlineStr">
        <is>
          <t>High</t>
        </is>
      </c>
      <c r="E17" s="19" t="n"/>
      <c r="F17" s="20">
        <f>IF(E17="",0,IF(E17="Yes — fully automated via SCIM/JIT",25,IF(E17="Partially automated",50,IF(E17="Manual process only",75,100)))*3/4)</f>
        <v/>
      </c>
      <c r="G17" s="31" t="n"/>
    </row>
    <row r="18" ht="32" customHeight="1">
      <c r="A18" s="29" t="n">
        <v>17</v>
      </c>
      <c r="B18" s="23" t="n"/>
      <c r="C18" s="30" t="inlineStr">
        <is>
          <t>Are access reviews performed periodically?</t>
        </is>
      </c>
      <c r="D18" s="18" t="inlineStr">
        <is>
          <t>High</t>
        </is>
      </c>
      <c r="E18" s="19" t="n"/>
      <c r="F18" s="20">
        <f>IF(E18="",0,IF(E18="Quarterly or more frequently",25,IF(E18="Semi-annually",50,IF(E18="Annually",75,100)))*3/4)</f>
        <v/>
      </c>
      <c r="G18" s="31" t="n"/>
    </row>
    <row r="19" ht="32" customHeight="1">
      <c r="A19" s="33" t="n">
        <v>18</v>
      </c>
      <c r="B19" s="34" t="inlineStr">
        <is>
          <t>Data Protection and Privacy</t>
        </is>
      </c>
      <c r="C19" s="35" t="inlineStr">
        <is>
          <t>Does the application process, store, or transmit student education records (FERPA-protected data)?</t>
        </is>
      </c>
      <c r="D19" s="27" t="inlineStr">
        <is>
          <t>Critical</t>
        </is>
      </c>
      <c r="E19" s="12" t="n"/>
      <c r="F19" s="13">
        <f>IF(E19="",0,IF(E19="Yes — primary function",25,IF(E19="Yes — incidental processing",50,IF(E19="No — no education records",75,100)))*4/4)</f>
        <v/>
      </c>
      <c r="G19" s="36" t="n"/>
    </row>
    <row r="20" ht="32" customHeight="1">
      <c r="A20" s="37" t="n">
        <v>19</v>
      </c>
      <c r="B20" s="16" t="n"/>
      <c r="C20" s="38" t="inlineStr">
        <is>
          <t>Is data encrypted at rest?</t>
        </is>
      </c>
      <c r="D20" s="18" t="inlineStr">
        <is>
          <t>High</t>
        </is>
      </c>
      <c r="E20" s="19" t="n"/>
      <c r="F20" s="20">
        <f>IF(E20="",0,IF(E20="Yes — AES-256 or equivalent",25,IF(E20="Yes — platform-managed encryption",50,IF(E20="Partial encryption",75,100)))*3/4)</f>
        <v/>
      </c>
      <c r="G20" s="39" t="n"/>
    </row>
    <row r="21" ht="32" customHeight="1">
      <c r="A21" s="37" t="n">
        <v>20</v>
      </c>
      <c r="B21" s="16" t="n"/>
      <c r="C21" s="38" t="inlineStr">
        <is>
          <t>Is data encrypted in transit?</t>
        </is>
      </c>
      <c r="D21" s="32" t="inlineStr">
        <is>
          <t>Critical</t>
        </is>
      </c>
      <c r="E21" s="19" t="n"/>
      <c r="F21" s="20">
        <f>IF(E21="",0,IF(E21="Yes — TLS 1.2+ enforced",25,IF(E21="Yes — TLS with older versions allowed",50,IF(E21="Partial — some endpoints unencrypted",75,100)))*4/4)</f>
        <v/>
      </c>
      <c r="G21" s="39" t="n"/>
    </row>
    <row r="22" ht="32" customHeight="1">
      <c r="A22" s="37" t="n">
        <v>21</v>
      </c>
      <c r="B22" s="16" t="n"/>
      <c r="C22" s="38" t="inlineStr">
        <is>
          <t>What is the data classification level of information processed?</t>
        </is>
      </c>
      <c r="D22" s="18" t="inlineStr">
        <is>
          <t>High</t>
        </is>
      </c>
      <c r="E22" s="19" t="n"/>
      <c r="F22" s="20">
        <f>IF(E22="",0,IF(E22="Public",25,IF(E22="Internal / Confidential",50,IF(E22="Restricted / Highly Sensitive",75,100)))*3/4)</f>
        <v/>
      </c>
      <c r="G22" s="39" t="n"/>
    </row>
    <row r="23" ht="32" customHeight="1">
      <c r="A23" s="37" t="n">
        <v>22</v>
      </c>
      <c r="B23" s="16" t="n"/>
      <c r="C23" s="38" t="inlineStr">
        <is>
          <t>Are data retention and disposal procedures implemented?</t>
        </is>
      </c>
      <c r="D23" s="22" t="inlineStr">
        <is>
          <t>Medium</t>
        </is>
      </c>
      <c r="E23" s="19" t="n"/>
      <c r="F23" s="20">
        <f>IF(E23="",0,IF(E23="Yes — automated lifecycle management",25,IF(E23="Yes — manual procedures documented",50,IF(E23="Partial — some data managed",75,100)))*2/4)</f>
        <v/>
      </c>
      <c r="G23" s="39" t="n"/>
    </row>
    <row r="24" ht="32" customHeight="1">
      <c r="A24" s="37" t="n">
        <v>23</v>
      </c>
      <c r="B24" s="23" t="n"/>
      <c r="C24" s="38" t="inlineStr">
        <is>
          <t>Does the application maintain disclosure records as required by FERPA §99.32?</t>
        </is>
      </c>
      <c r="D24" s="18" t="inlineStr">
        <is>
          <t>High</t>
        </is>
      </c>
      <c r="E24" s="19" t="n"/>
      <c r="F24" s="20">
        <f>IF(E24="",0,IF(E24="Yes — automated logging",25,IF(E24="Yes — manual records",50,IF(E24="Not applicable (no education records)",75,100)))*3/4)</f>
        <v/>
      </c>
      <c r="G24" s="39" t="n"/>
    </row>
    <row r="25" ht="32" customHeight="1">
      <c r="A25" s="40" t="n">
        <v>24</v>
      </c>
      <c r="B25" s="41" t="inlineStr">
        <is>
          <t>Secure Development and Change Management</t>
        </is>
      </c>
      <c r="C25" s="42" t="inlineStr">
        <is>
          <t>Is the application developed using a documented SDLC methodology?</t>
        </is>
      </c>
      <c r="D25" s="11" t="inlineStr">
        <is>
          <t>High</t>
        </is>
      </c>
      <c r="E25" s="12" t="n"/>
      <c r="F25" s="13">
        <f>IF(E25="",0,IF(E25="Yes — with security gates",25,IF(E25="Yes — without explicit security gates",50,IF(E25="Informal development process",75,100)))*3/4)</f>
        <v/>
      </c>
      <c r="G25" s="43" t="n"/>
    </row>
    <row r="26" ht="32" customHeight="1">
      <c r="A26" s="44" t="n">
        <v>25</v>
      </c>
      <c r="B26" s="16" t="n"/>
      <c r="C26" s="45" t="inlineStr">
        <is>
          <t>Are SAST and/or SCA scans integrated into the CI/CD pipeline?</t>
        </is>
      </c>
      <c r="D26" s="32" t="inlineStr">
        <is>
          <t>Critical</t>
        </is>
      </c>
      <c r="E26" s="19" t="n"/>
      <c r="F26" s="20">
        <f>IF(E26="",0,IF(E26="Yes — blocking on critical findings",25,IF(E26="Yes — advisory only",50,IF(E26="Manual scans only",75,100)))*4/4)</f>
        <v/>
      </c>
      <c r="G26" s="46" t="n"/>
    </row>
    <row r="27" ht="32" customHeight="1">
      <c r="A27" s="44" t="n">
        <v>26</v>
      </c>
      <c r="B27" s="16" t="n"/>
      <c r="C27" s="45" t="inlineStr">
        <is>
          <t>Is DAST or penetration testing performed?</t>
        </is>
      </c>
      <c r="D27" s="18" t="inlineStr">
        <is>
          <t>High</t>
        </is>
      </c>
      <c r="E27" s="19" t="n"/>
      <c r="F27" s="20">
        <f>IF(E27="",0,IF(E27="Yes — automated DAST in CI/CD + annual pentest",25,IF(E27="Annual penetration test only",50,IF(E27="Ad-hoc testing",75,100)))*3/4)</f>
        <v/>
      </c>
      <c r="G27" s="46" t="n"/>
    </row>
    <row r="28" ht="32" customHeight="1">
      <c r="A28" s="44" t="n">
        <v>27</v>
      </c>
      <c r="B28" s="16" t="n"/>
      <c r="C28" s="45" t="inlineStr">
        <is>
          <t>Are development, test, and production environments segregated?</t>
        </is>
      </c>
      <c r="D28" s="18" t="inlineStr">
        <is>
          <t>High</t>
        </is>
      </c>
      <c r="E28" s="19" t="n"/>
      <c r="F28" s="20">
        <f>IF(E28="",0,IF(E28="Yes — fully segregated with access controls",25,IF(E28="Partially segregated",50,IF(E28="Shared environments",75,100)))*3/4)</f>
        <v/>
      </c>
      <c r="G28" s="46" t="n"/>
    </row>
    <row r="29" ht="32" customHeight="1">
      <c r="A29" s="44" t="n">
        <v>28</v>
      </c>
      <c r="B29" s="16" t="n"/>
      <c r="C29" s="45" t="inlineStr">
        <is>
          <t>Is there a formal change approval process for production deployments?</t>
        </is>
      </c>
      <c r="D29" s="18" t="inlineStr">
        <is>
          <t>High</t>
        </is>
      </c>
      <c r="E29" s="19" t="n"/>
      <c r="F29" s="20">
        <f>IF(E29="",0,IF(E29="Yes — CAB/change authority approval required",25,IF(E29="Yes — peer review only",50,IF(E29="No formal approval process",75,100)))*3/4)</f>
        <v/>
      </c>
      <c r="G29" s="46" t="n"/>
    </row>
    <row r="30" ht="32" customHeight="1">
      <c r="A30" s="44" t="n">
        <v>29</v>
      </c>
      <c r="B30" s="16" t="n"/>
      <c r="C30" s="45" t="inlineStr">
        <is>
          <t>Is the application managed through the enterprise endpoint or patch management system (e.g., Intune, SCCM), or does it require an out-of-band update mechanism?</t>
        </is>
      </c>
      <c r="D30" s="18" t="inlineStr">
        <is>
          <t>High</t>
        </is>
      </c>
      <c r="E30" s="19" t="n"/>
      <c r="F30" s="20">
        <f>IF(E30="",0,IF(E30="Fully managed via enterprise MDM/SCCM",25,IF(E30="Partially managed — some updates out-of-band",50,IF(E30="Entirely out-of-band (CLI, manual, or vendor-pushed)",75,100)))*3/4)</f>
        <v/>
      </c>
      <c r="G30" s="46" t="n"/>
    </row>
    <row r="31" ht="32" customHeight="1">
      <c r="A31" s="44" t="n">
        <v>30</v>
      </c>
      <c r="B31" s="23" t="n"/>
      <c r="C31" s="45" t="inlineStr">
        <is>
          <t>Are human review and approval required before application outputs are used in production or decision-making?</t>
        </is>
      </c>
      <c r="D31" s="18" t="inlineStr">
        <is>
          <t>High</t>
        </is>
      </c>
      <c r="E31" s="19" t="n"/>
      <c r="F31" s="20">
        <f>IF(E31="",0,IF(E31="Yes — mandatory human review with sign-off",25,IF(E31="Yes — sampling-based or risk-tiered review",50,IF(E31="No — outputs used directly without review",75,100)))*3/4)</f>
        <v/>
      </c>
      <c r="G31" s="46" t="n"/>
    </row>
    <row r="32" ht="32" customHeight="1">
      <c r="A32" s="47" t="n">
        <v>31</v>
      </c>
      <c r="B32" s="48" t="inlineStr">
        <is>
          <t>Vulnerability and Threat Management</t>
        </is>
      </c>
      <c r="C32" s="49" t="inlineStr">
        <is>
          <t>Is the application included in vulnerability scanning scope?</t>
        </is>
      </c>
      <c r="D32" s="27" t="inlineStr">
        <is>
          <t>Critical</t>
        </is>
      </c>
      <c r="E32" s="12" t="n"/>
      <c r="F32" s="13">
        <f>IF(E32="",0,IF(E32="Yes — authenticated scans weekly+",25,IF(E32="Yes — unauthenticated scans",50,IF(E32="Ad-hoc scanning only",75,100)))*4/4)</f>
        <v/>
      </c>
      <c r="G32" s="50" t="n"/>
    </row>
    <row r="33" ht="32" customHeight="1">
      <c r="A33" s="51" t="n">
        <v>32</v>
      </c>
      <c r="B33" s="16" t="n"/>
      <c r="C33" s="52" t="inlineStr">
        <is>
          <t>What is the SLA for remediating critical vulnerabilities?</t>
        </is>
      </c>
      <c r="D33" s="18" t="inlineStr">
        <is>
          <t>High</t>
        </is>
      </c>
      <c r="E33" s="19" t="n"/>
      <c r="F33" s="20">
        <f>IF(E33="",0,IF(E33="7 days or fewer",25,IF(E33="8–30 days",50,IF(E33="31–90 days",75,100)))*3/4)</f>
        <v/>
      </c>
      <c r="G33" s="53" t="n"/>
    </row>
    <row r="34" ht="32" customHeight="1">
      <c r="A34" s="51" t="n">
        <v>33</v>
      </c>
      <c r="B34" s="16" t="n"/>
      <c r="C34" s="52" t="inlineStr">
        <is>
          <t>Is the application monitored for security events?</t>
        </is>
      </c>
      <c r="D34" s="18" t="inlineStr">
        <is>
          <t>High</t>
        </is>
      </c>
      <c r="E34" s="19" t="n"/>
      <c r="F34" s="20">
        <f>IF(E34="",0,IF(E34="Yes — SIEM integration with alerting",25,IF(E34="Yes — log collection without alerting",50,IF(E34="Partial monitoring",75,100)))*3/4)</f>
        <v/>
      </c>
      <c r="G34" s="53" t="n"/>
    </row>
    <row r="35" ht="32" customHeight="1">
      <c r="A35" s="51" t="n">
        <v>34</v>
      </c>
      <c r="B35" s="16" t="n"/>
      <c r="C35" s="52" t="inlineStr">
        <is>
          <t>Does the application have a web application firewall (WAF)?</t>
        </is>
      </c>
      <c r="D35" s="22" t="inlineStr">
        <is>
          <t>Medium</t>
        </is>
      </c>
      <c r="E35" s="19" t="n"/>
      <c r="F35" s="20">
        <f>IF(E35="",0,IF(E35="Yes — managed WAF with tuned rules",25,IF(E35="Yes — default WAF rules",50,IF(E35="No WAF — network firewall only",75,100)))*2/4)</f>
        <v/>
      </c>
      <c r="G35" s="53" t="n"/>
    </row>
    <row r="36" ht="32" customHeight="1">
      <c r="A36" s="51" t="n">
        <v>35</v>
      </c>
      <c r="B36" s="16" t="n"/>
      <c r="C36" s="52" t="inlineStr">
        <is>
          <t>Are detective controls implemented to identify unauthorized or anomalous use of this application?</t>
        </is>
      </c>
      <c r="D36" s="18" t="inlineStr">
        <is>
          <t>High</t>
        </is>
      </c>
      <c r="E36" s="19" t="n"/>
      <c r="F36" s="20">
        <f>IF(E36="",0,IF(E36="Yes — automated detection with real-time alerting",25,IF(E36="Yes — log-based detection requiring manual review",50,IF(E36="Partial — some detection capabilities",75,100)))*3/4)</f>
        <v/>
      </c>
      <c r="G36" s="53" t="n"/>
    </row>
    <row r="37" ht="32" customHeight="1">
      <c r="A37" s="51" t="n">
        <v>36</v>
      </c>
      <c r="B37" s="16" t="n"/>
      <c r="C37" s="52" t="inlineStr">
        <is>
          <t>Are corrective controls defined to remediate or contain issues detected during application use?</t>
        </is>
      </c>
      <c r="D37" s="18" t="inlineStr">
        <is>
          <t>High</t>
        </is>
      </c>
      <c r="E37" s="19" t="n"/>
      <c r="F37" s="20">
        <f>IF(E37="",0,IF(E37="Yes — automated remediation and rollback capabilities",25,IF(E37="Yes — documented manual corrective procedures",50,IF(E37="Partial — ad-hoc correction only",75,100)))*3/4)</f>
        <v/>
      </c>
      <c r="G37" s="53" t="n"/>
    </row>
    <row r="38" ht="32" customHeight="1">
      <c r="A38" s="51" t="n">
        <v>37</v>
      </c>
      <c r="B38" s="23" t="n"/>
      <c r="C38" s="52" t="inlineStr">
        <is>
          <t>Is application usage monitored with defined KPIs escalated to both team-level and enterprise-level analysis?</t>
        </is>
      </c>
      <c r="D38" s="22" t="inlineStr">
        <is>
          <t>Medium</t>
        </is>
      </c>
      <c r="E38" s="19" t="n"/>
      <c r="F38" s="20">
        <f>IF(E38="",0,IF(E38="Yes — dashboards with KPIs at both levels",25,IF(E38="Yes — team-level metrics only",50,IF(E38="Partial — ad-hoc reporting",75,100)))*2/4)</f>
        <v/>
      </c>
      <c r="G38" s="53" t="n"/>
    </row>
    <row r="39" ht="32" customHeight="1">
      <c r="A39" s="54" t="n">
        <v>38</v>
      </c>
      <c r="B39" s="55" t="inlineStr">
        <is>
          <t>Incident Response and Business Continuity</t>
        </is>
      </c>
      <c r="C39" s="56" t="inlineStr">
        <is>
          <t>Is the application covered by the incident response plan?</t>
        </is>
      </c>
      <c r="D39" s="11" t="inlineStr">
        <is>
          <t>High</t>
        </is>
      </c>
      <c r="E39" s="12" t="n"/>
      <c r="F39" s="13">
        <f>IF(E39="",0,IF(E39="Yes — application-specific runbook",25,IF(E39="Yes — covered by general IRP",50,IF(E39="Partial coverage",75,100)))*3/4)</f>
        <v/>
      </c>
      <c r="G39" s="57" t="n"/>
    </row>
    <row r="40" ht="32" customHeight="1">
      <c r="A40" s="58" t="n">
        <v>39</v>
      </c>
      <c r="B40" s="16" t="n"/>
      <c r="C40" s="59" t="inlineStr">
        <is>
          <t>What is the Recovery Time Objective (RTO)?</t>
        </is>
      </c>
      <c r="D40" s="18" t="inlineStr">
        <is>
          <t>High</t>
        </is>
      </c>
      <c r="E40" s="19" t="n"/>
      <c r="F40" s="20">
        <f>IF(E40="",0,IF(E40="1 hour or less",25,IF(E40="1–4 hours",50,IF(E40="4–24 hours",75,100)))*3/4)</f>
        <v/>
      </c>
      <c r="G40" s="60" t="n"/>
    </row>
    <row r="41" ht="32" customHeight="1">
      <c r="A41" s="58" t="n">
        <v>40</v>
      </c>
      <c r="B41" s="16" t="n"/>
      <c r="C41" s="59" t="inlineStr">
        <is>
          <t>What is the Recovery Point Objective (RPO)?</t>
        </is>
      </c>
      <c r="D41" s="18" t="inlineStr">
        <is>
          <t>High</t>
        </is>
      </c>
      <c r="E41" s="19" t="n"/>
      <c r="F41" s="20">
        <f>IF(E41="",0,IF(E41="1 hour or less",25,IF(E41="1–4 hours",50,IF(E41="4–24 hours",75,100)))*3/4)</f>
        <v/>
      </c>
      <c r="G41" s="60" t="n"/>
    </row>
    <row r="42" ht="32" customHeight="1">
      <c r="A42" s="58" t="n">
        <v>41</v>
      </c>
      <c r="B42" s="16" t="n"/>
      <c r="C42" s="59" t="inlineStr">
        <is>
          <t>When was the last backup restoration test performed?</t>
        </is>
      </c>
      <c r="D42" s="18" t="inlineStr">
        <is>
          <t>High</t>
        </is>
      </c>
      <c r="E42" s="19" t="n"/>
      <c r="F42" s="20">
        <f>IF(E42="",0,IF(E42="Within 6 months",25,IF(E42="6–12 months ago",50,IF(E42="&gt; 12 months ago",75,100)))*3/4)</f>
        <v/>
      </c>
      <c r="G42" s="60" t="n"/>
    </row>
    <row r="43" ht="32" customHeight="1">
      <c r="A43" s="58" t="n">
        <v>42</v>
      </c>
      <c r="B43" s="23" t="n"/>
      <c r="C43" s="59" t="inlineStr">
        <is>
          <t>Is forensic evidence preservation addressed for this application?</t>
        </is>
      </c>
      <c r="D43" s="22" t="inlineStr">
        <is>
          <t>Medium</t>
        </is>
      </c>
      <c r="E43" s="19" t="n"/>
      <c r="F43" s="20">
        <f>IF(E43="",0,IF(E43="Yes — log retention and chain of custody documented",25,IF(E43="Partial — logs retained but no formal process",50,IF(E43="No forensic readiness",75,100)))*2/4)</f>
        <v/>
      </c>
      <c r="G43" s="60" t="n"/>
    </row>
    <row r="44" ht="32" customHeight="1">
      <c r="A44" s="61" t="n">
        <v>43</v>
      </c>
      <c r="B44" s="62" t="inlineStr">
        <is>
          <t>Third-Party and Supply Chain Risk</t>
        </is>
      </c>
      <c r="C44" s="63" t="inlineStr">
        <is>
          <t>Is the application a third-party or SaaS product?</t>
        </is>
      </c>
      <c r="D44" s="64" t="inlineStr">
        <is>
          <t>Info</t>
        </is>
      </c>
      <c r="E44" s="12" t="n"/>
      <c r="F44" s="13">
        <f>IF(E44="",0,IF(E44="Yes — SaaS / cloud-hosted",25,IF(E44="Yes — on-premises third-party",50,IF(E44="No — internally developed",75,100)))*1/4)</f>
        <v/>
      </c>
      <c r="G44" s="65" t="n"/>
    </row>
    <row r="45" ht="32" customHeight="1">
      <c r="A45" s="66" t="n">
        <v>44</v>
      </c>
      <c r="B45" s="16" t="n"/>
      <c r="C45" s="67" t="inlineStr">
        <is>
          <t>Has a vendor security assessment been completed?</t>
        </is>
      </c>
      <c r="D45" s="18" t="inlineStr">
        <is>
          <t>High</t>
        </is>
      </c>
      <c r="E45" s="19" t="n"/>
      <c r="F45" s="20">
        <f>IF(E45="",0,IF(E45="Yes — within 12 months",25,IF(E45="Yes — older than 12 months",50,IF(E45="No assessment performed",75,100)))*3/4)</f>
        <v/>
      </c>
      <c r="G45" s="68" t="n"/>
    </row>
    <row r="46" ht="32" customHeight="1">
      <c r="A46" s="66" t="n">
        <v>45</v>
      </c>
      <c r="B46" s="16" t="n"/>
      <c r="C46" s="67" t="inlineStr">
        <is>
          <t>Does the vendor contract include security requirements?</t>
        </is>
      </c>
      <c r="D46" s="18" t="inlineStr">
        <is>
          <t>High</t>
        </is>
      </c>
      <c r="E46" s="19" t="n"/>
      <c r="F46" s="20">
        <f>IF(E46="",0,IF(E46="Yes — comprehensive security addendum",25,IF(E46="Yes — basic security clauses",50,IF(E46="No security requirements in contract",75,100)))*3/4)</f>
        <v/>
      </c>
      <c r="G46" s="68" t="n"/>
    </row>
    <row r="47" ht="32" customHeight="1">
      <c r="A47" s="66" t="n">
        <v>46</v>
      </c>
      <c r="B47" s="16" t="n"/>
      <c r="C47" s="67" t="inlineStr">
        <is>
          <t>Is there a defined exit strategy for vendor transition?</t>
        </is>
      </c>
      <c r="D47" s="22" t="inlineStr">
        <is>
          <t>Medium</t>
        </is>
      </c>
      <c r="E47" s="19" t="n"/>
      <c r="F47" s="20">
        <f>IF(E47="",0,IF(E47="Yes — documented with data portability plan",25,IF(E47="Partial plan",50,IF(E47="No exit strategy",75,100)))*2/4)</f>
        <v/>
      </c>
      <c r="G47" s="68" t="n"/>
    </row>
    <row r="48" ht="32" customHeight="1">
      <c r="A48" s="66" t="n">
        <v>47</v>
      </c>
      <c r="B48" s="16" t="n"/>
      <c r="C48" s="67" t="inlineStr">
        <is>
          <t>Is there a phased deployment plan with maturity-gated control enhancements (e.g., crawl/walk/run)?</t>
        </is>
      </c>
      <c r="D48" s="18" t="inlineStr">
        <is>
          <t>High</t>
        </is>
      </c>
      <c r="E48" s="19" t="n"/>
      <c r="F48" s="20">
        <f>IF(E48="",0,IF(E48="Yes — defined phases with control gates at each stage",25,IF(E48="Yes — informal phased approach",50,IF(E48="No — full deployment without phased controls",75,100)))*3/4)</f>
        <v/>
      </c>
      <c r="G48" s="68" t="n"/>
    </row>
    <row r="49" ht="32" customHeight="1">
      <c r="A49" s="66" t="n">
        <v>48</v>
      </c>
      <c r="B49" s="23" t="n"/>
      <c r="C49" s="67" t="inlineStr">
        <is>
          <t>Have AI-specific risks been formally assessed for this application (e.g., overreliance, output accuracy, prompt consistency, IP leakage)?</t>
        </is>
      </c>
      <c r="D49" s="18" t="inlineStr">
        <is>
          <t>High</t>
        </is>
      </c>
      <c r="E49" s="19" t="n"/>
      <c r="F49" s="20">
        <f>IF(E49="",0,IF(E49="Yes — formal AI risk assessment completed",25,IF(E49="Yes — partial assessment of key risks",50,IF(E49="Not applicable — no AI/ML capabilities",75,100)))*3/4)</f>
        <v/>
      </c>
      <c r="G49" s="68" t="n"/>
    </row>
  </sheetData>
  <autoFilter ref="A1:G1"/>
  <mergeCells count="7">
    <mergeCell ref="B2:B13"/>
    <mergeCell ref="B32:B38"/>
    <mergeCell ref="B14:B18"/>
    <mergeCell ref="B44:B49"/>
    <mergeCell ref="B25:B31"/>
    <mergeCell ref="B19:B24"/>
    <mergeCell ref="B39:B43"/>
  </mergeCells>
  <dataValidations count="48">
    <dataValidation sqref="E2" showDropDown="0" showInputMessage="0" showErrorMessage="0" allowBlank="1" errorTitle="Invalid Answer" error="Please select a valid answer from the dropdown." promptTitle="Q1" prompt="Select one of 4 choices" type="list">
      <formula1>"Yes — named owner in CMDB,Yes — informal ownership,No — ownership not established,N/A"</formula1>
    </dataValidation>
    <dataValidation sqref="E3" showDropDown="0" showInputMessage="0" showErrorMessage="0" allowBlank="1" errorTitle="Invalid Answer" error="Please select a valid answer from the dropdown." promptTitle="Q2" prompt="Select one of 4 choices" type="list">
      <formula1>"Yes — High/Critical,Yes — Medium,Yes — Low,No classification assigned"</formula1>
    </dataValidation>
    <dataValidation sqref="E4" showDropDown="0" showInputMessage="0" showErrorMessage="0" allowBlank="1" errorTitle="Invalid Answer" error="Please select a valid answer from the dropdown." promptTitle="Q3" prompt="Select one of 4 choices" type="list">
      <formula1>"Yes — explicitly referenced,Yes — covered by umbrella policy,No — not in scope,Unknown"</formula1>
    </dataValidation>
    <dataValidation sqref="E5" showDropDown="0" showInputMessage="0" showErrorMessage="0" allowBlank="1" errorTitle="Invalid Answer" error="Please select a valid answer from the dropdown." promptTitle="Q4" prompt="Select one of 4 choices" type="list">
      <formula1>"Within 6 months,6–12 months ago,More than 12 months ago,Never assessed"</formula1>
    </dataValidation>
    <dataValidation sqref="E6" showDropDown="0" showInputMessage="0" showErrorMessage="0" allowBlank="1" errorTitle="Invalid Answer" error="Please select a valid answer from the dropdown." promptTitle="Q5" prompt="Select one of 4 choices" type="list">
      <formula1>"Yes — current and reviewed,Yes — but outdated,No — not documented,N/A"</formula1>
    </dataValidation>
    <dataValidation sqref="E7" showDropDown="0" showInputMessage="0" showErrorMessage="0" allowBlank="1" errorTitle="Invalid Answer" error="Please select a valid answer from the dropdown." promptTitle="Q6" prompt="Select one of 4 choices" type="list">
      <formula1>"Yes — documented and current,Yes — but outdated or incomplete,No — roles informally understood,No — accountability not defined"</formula1>
    </dataValidation>
    <dataValidation sqref="E8" showDropDown="0" showInputMessage="0" showErrorMessage="0" allowBlank="1" errorTitle="Invalid Answer" error="Please select a valid answer from the dropdown." promptTitle="Q7" prompt="Select one of 4 choices" type="list">
      <formula1>"Yes — RACI-aligned runbook with named contacts,Yes — general escalation via IRP,Partial — ad-hoc escalation only,No — not documented"</formula1>
    </dataValidation>
    <dataValidation sqref="E9" showDropDown="0" showInputMessage="0" showErrorMessage="0" allowBlank="1" errorTitle="Invalid Answer" error="Please select a valid answer from the dropdown." promptTitle="Q8" prompt="Select one of 4 choices" type="list">
      <formula1>"KTLO — operationally required (MUST),Business need — supports key objectives (SHOULD),Nice to have — productivity enhancement (MAY),Not classified"</formula1>
    </dataValidation>
    <dataValidation sqref="E10" showDropDown="0" showInputMessage="0" showErrorMessage="0" allowBlank="1" errorTitle="Invalid Answer" error="Please select a valid answer from the dropdown." promptTitle="Q9" prompt="Select one of 4 choices" type="list">
      <formula1>"Enterprise-wide — all departments,Multiple departments — formally scoped,Single team or department,Not formally scoped"</formula1>
    </dataValidation>
    <dataValidation sqref="E11" showDropDown="0" showInputMessage="0" showErrorMessage="0" allowBlank="1" errorTitle="Invalid Answer" error="Please select a valid answer from the dropdown." promptTitle="Q10" prompt="Select one of 4 choices" type="list">
      <formula1>"Yes — quantified with baseline metrics and KPIs,Yes — qualitative estimates documented,Informal understanding only,No estimates or benchmarks"</formula1>
    </dataValidation>
    <dataValidation sqref="E12" showDropDown="0" showInputMessage="0" showErrorMessage="0" allowBlank="1" errorTitle="Invalid Answer" error="Please select a valid answer from the dropdown." promptTitle="Q11" prompt="Select one of 4 choices" type="list">
      <formula1>"Yes — reviewed and approved,Yes — reviewed with conditions or caveats,Review requested but not completed,Not reviewed"</formula1>
    </dataValidation>
    <dataValidation sqref="E13" showDropDown="0" showInputMessage="0" showErrorMessage="0" allowBlank="1" errorTitle="Invalid Answer" error="Please select a valid answer from the dropdown." promptTitle="Q12" prompt="Select one of 4 choices" type="list">
      <formula1>"Yes — approved with defined boundaries and controls,Yes — approved for limited or pilot use,Under review,No — not submitted for architecture review"</formula1>
    </dataValidation>
    <dataValidation sqref="E14" showDropDown="0" showInputMessage="0" showErrorMessage="0" allowBlank="1" errorTitle="Invalid Answer" error="Please select a valid answer from the dropdown." promptTitle="Q13" prompt="Select one of 4 choices" type="list">
      <formula1>"SSO with MFA (Entra ID),SSO without MFA,Local authentication with MFA,Local authentication without MFA"</formula1>
    </dataValidation>
    <dataValidation sqref="E15" showDropDown="0" showInputMessage="0" showErrorMessage="0" allowBlank="1" errorTitle="Invalid Answer" error="Please select a valid answer from the dropdown." promptTitle="Q14" prompt="Select one of 4 choices" type="list">
      <formula1>"Yes — RBAC/ABAC enforced,Partially — some roles over-privileged,No — broad access grants,Unknown"</formula1>
    </dataValidation>
    <dataValidation sqref="E16" showDropDown="0" showInputMessage="0" showErrorMessage="0" allowBlank="1" errorTitle="Invalid Answer" error="Please select a valid answer from the dropdown." promptTitle="Q15" prompt="Select one of 4 choices" type="list">
      <formula1>"Vault/managed identities with rotation,Stored securely with manual rotation,Hard-coded or shared credentials,No service accounts used"</formula1>
    </dataValidation>
    <dataValidation sqref="E17" showDropDown="0" showInputMessage="0" showErrorMessage="0" allowBlank="1" errorTitle="Invalid Answer" error="Please select a valid answer from the dropdown." promptTitle="Q16" prompt="Select one of 4 choices" type="list">
      <formula1>"Yes — fully automated via SCIM/JIT,Partially automated,Manual process only,No process in place"</formula1>
    </dataValidation>
    <dataValidation sqref="E18" showDropDown="0" showInputMessage="0" showErrorMessage="0" allowBlank="1" errorTitle="Invalid Answer" error="Please select a valid answer from the dropdown." promptTitle="Q17" prompt="Select one of 4 choices" type="list">
      <formula1>"Quarterly or more frequently,Semi-annually,Annually,No periodic reviews"</formula1>
    </dataValidation>
    <dataValidation sqref="E19" showDropDown="0" showInputMessage="0" showErrorMessage="0" allowBlank="1" errorTitle="Invalid Answer" error="Please select a valid answer from the dropdown." promptTitle="Q18" prompt="Select one of 4 choices" type="list">
      <formula1>"Yes — primary function,Yes — incidental processing,No — no education records,Unknown / Not assessed"</formula1>
    </dataValidation>
    <dataValidation sqref="E20" showDropDown="0" showInputMessage="0" showErrorMessage="0" allowBlank="1" errorTitle="Invalid Answer" error="Please select a valid answer from the dropdown." promptTitle="Q19" prompt="Select one of 4 choices" type="list">
      <formula1>"Yes — AES-256 or equivalent,Yes — platform-managed encryption,Partial encryption,No encryption at rest"</formula1>
    </dataValidation>
    <dataValidation sqref="E21" showDropDown="0" showInputMessage="0" showErrorMessage="0" allowBlank="1" errorTitle="Invalid Answer" error="Please select a valid answer from the dropdown." promptTitle="Q20" prompt="Select one of 4 choices" type="list">
      <formula1>"Yes — TLS 1.2+ enforced,Yes — TLS with older versions allowed,Partial — some endpoints unencrypted,No encryption in transit"</formula1>
    </dataValidation>
    <dataValidation sqref="E22" showDropDown="0" showInputMessage="0" showErrorMessage="0" allowBlank="1" errorTitle="Invalid Answer" error="Please select a valid answer from the dropdown." promptTitle="Q21" prompt="Select one of 4 choices" type="list">
      <formula1>"Public,Internal / Confidential,Restricted / Highly Sensitive,Not classified"</formula1>
    </dataValidation>
    <dataValidation sqref="E23" showDropDown="0" showInputMessage="0" showErrorMessage="0" allowBlank="1" errorTitle="Invalid Answer" error="Please select a valid answer from the dropdown." promptTitle="Q22" prompt="Select one of 4 choices" type="list">
      <formula1>"Yes — automated lifecycle management,Yes — manual procedures documented,Partial — some data managed,No retention/disposal procedures"</formula1>
    </dataValidation>
    <dataValidation sqref="E24" showDropDown="0" showInputMessage="0" showErrorMessage="0" allowBlank="1" errorTitle="Invalid Answer" error="Please select a valid answer from the dropdown." promptTitle="Q23" prompt="Select one of 4 choices" type="list">
      <formula1>"Yes — automated logging,Yes — manual records,Not applicable (no education records),No — not implemented"</formula1>
    </dataValidation>
    <dataValidation sqref="E25" showDropDown="0" showInputMessage="0" showErrorMessage="0" allowBlank="1" errorTitle="Invalid Answer" error="Please select a valid answer from the dropdown." promptTitle="Q24" prompt="Select one of 4 choices" type="list">
      <formula1>"Yes — with security gates,Yes — without explicit security gates,Informal development process,Third-party managed / SaaS"</formula1>
    </dataValidation>
    <dataValidation sqref="E26" showDropDown="0" showInputMessage="0" showErrorMessage="0" allowBlank="1" errorTitle="Invalid Answer" error="Please select a valid answer from the dropdown." promptTitle="Q25" prompt="Select one of 4 choices" type="list">
      <formula1>"Yes — blocking on critical findings,Yes — advisory only,Manual scans only,No security scanning"</formula1>
    </dataValidation>
    <dataValidation sqref="E27" showDropDown="0" showInputMessage="0" showErrorMessage="0" allowBlank="1" errorTitle="Invalid Answer" error="Please select a valid answer from the dropdown." promptTitle="Q26" prompt="Select one of 4 choices" type="list">
      <formula1>"Yes — automated DAST in CI/CD + annual pentest,Annual penetration test only,Ad-hoc testing,No DAST or penetration testing"</formula1>
    </dataValidation>
    <dataValidation sqref="E28" showDropDown="0" showInputMessage="0" showErrorMessage="0" allowBlank="1" errorTitle="Invalid Answer" error="Please select a valid answer from the dropdown." promptTitle="Q27" prompt="Select one of 4 choices" type="list">
      <formula1>"Yes — fully segregated with access controls,Partially segregated,Shared environments,N/A — SaaS application"</formula1>
    </dataValidation>
    <dataValidation sqref="E29" showDropDown="0" showInputMessage="0" showErrorMessage="0" allowBlank="1" errorTitle="Invalid Answer" error="Please select a valid answer from the dropdown." promptTitle="Q28" prompt="Select one of 4 choices" type="list">
      <formula1>"Yes — CAB/change authority approval required,Yes — peer review only,No formal approval process,N/A — vendor managed"</formula1>
    </dataValidation>
    <dataValidation sqref="E30" showDropDown="0" showInputMessage="0" showErrorMessage="0" allowBlank="1" errorTitle="Invalid Answer" error="Please select a valid answer from the dropdown." promptTitle="Q29" prompt="Select one of 4 choices" type="list">
      <formula1>"Fully managed via enterprise MDM/SCCM,Partially managed — some updates out-of-band,Entirely out-of-band (CLI, manual, or vendor-pushed),N/A — SaaS / vendor-managed"</formula1>
    </dataValidation>
    <dataValidation sqref="E31" showDropDown="0" showInputMessage="0" showErrorMessage="0" allowBlank="1" errorTitle="Invalid Answer" error="Please select a valid answer from the dropdown." promptTitle="Q30" prompt="Select one of 4 choices" type="list">
      <formula1>"Yes — mandatory human review with sign-off,Yes — sampling-based or risk-tiered review,No — outputs used directly without review,N/A — application does not generate decision outputs"</formula1>
    </dataValidation>
    <dataValidation sqref="E32" showDropDown="0" showInputMessage="0" showErrorMessage="0" allowBlank="1" errorTitle="Invalid Answer" error="Please select a valid answer from the dropdown." promptTitle="Q31" prompt="Select one of 4 choices" type="list">
      <formula1>"Yes — authenticated scans weekly+,Yes — unauthenticated scans,Ad-hoc scanning only,Not in scanning scope"</formula1>
    </dataValidation>
    <dataValidation sqref="E33" showDropDown="0" showInputMessage="0" showErrorMessage="0" allowBlank="1" errorTitle="Invalid Answer" error="Please select a valid answer from the dropdown." promptTitle="Q32" prompt="Select one of 4 choices" type="list">
      <formula1>"7 days or fewer,8–30 days,31–90 days,&gt; 90 days or no SLA"</formula1>
    </dataValidation>
    <dataValidation sqref="E34" showDropDown="0" showInputMessage="0" showErrorMessage="0" allowBlank="1" errorTitle="Invalid Answer" error="Please select a valid answer from the dropdown." promptTitle="Q33" prompt="Select one of 4 choices" type="list">
      <formula1>"Yes — SIEM integration with alerting,Yes — log collection without alerting,Partial monitoring,No security monitoring"</formula1>
    </dataValidation>
    <dataValidation sqref="E35" showDropDown="0" showInputMessage="0" showErrorMessage="0" allowBlank="1" errorTitle="Invalid Answer" error="Please select a valid answer from the dropdown." promptTitle="Q34" prompt="Select one of 4 choices" type="list">
      <formula1>"Yes — managed WAF with tuned rules,Yes — default WAF rules,No WAF — network firewall only,No protection layer"</formula1>
    </dataValidation>
    <dataValidation sqref="E36" showDropDown="0" showInputMessage="0" showErrorMessage="0" allowBlank="1" errorTitle="Invalid Answer" error="Please select a valid answer from the dropdown." promptTitle="Q35" prompt="Select one of 4 choices" type="list">
      <formula1>"Yes — automated detection with real-time alerting,Yes — log-based detection requiring manual review,Partial — some detection capabilities,No detective controls implemented"</formula1>
    </dataValidation>
    <dataValidation sqref="E37" showDropDown="0" showInputMessage="0" showErrorMessage="0" allowBlank="1" errorTitle="Invalid Answer" error="Please select a valid answer from the dropdown." promptTitle="Q36" prompt="Select one of 4 choices" type="list">
      <formula1>"Yes — automated remediation and rollback capabilities,Yes — documented manual corrective procedures,Partial — ad-hoc correction only,No corrective controls defined"</formula1>
    </dataValidation>
    <dataValidation sqref="E38" showDropDown="0" showInputMessage="0" showErrorMessage="0" allowBlank="1" errorTitle="Invalid Answer" error="Please select a valid answer from the dropdown." promptTitle="Q37" prompt="Select one of 4 choices" type="list">
      <formula1>"Yes — dashboards with KPIs at both levels,Yes — team-level metrics only,Partial — ad-hoc reporting,No usage monitoring"</formula1>
    </dataValidation>
    <dataValidation sqref="E39" showDropDown="0" showInputMessage="0" showErrorMessage="0" allowBlank="1" errorTitle="Invalid Answer" error="Please select a valid answer from the dropdown." promptTitle="Q38" prompt="Select one of 4 choices" type="list">
      <formula1>"Yes — application-specific runbook,Yes — covered by general IRP,Partial coverage,Not covered"</formula1>
    </dataValidation>
    <dataValidation sqref="E40" showDropDown="0" showInputMessage="0" showErrorMessage="0" allowBlank="1" errorTitle="Invalid Answer" error="Please select a valid answer from the dropdown." promptTitle="Q39" prompt="Select one of 4 choices" type="list">
      <formula1>"1 hour or less,1–4 hours,4–24 hours,&gt; 24 hours or undefined"</formula1>
    </dataValidation>
    <dataValidation sqref="E41" showDropDown="0" showInputMessage="0" showErrorMessage="0" allowBlank="1" errorTitle="Invalid Answer" error="Please select a valid answer from the dropdown." promptTitle="Q40" prompt="Select one of 4 choices" type="list">
      <formula1>"1 hour or less,1–4 hours,4–24 hours,&gt; 24 hours or undefined"</formula1>
    </dataValidation>
    <dataValidation sqref="E42" showDropDown="0" showInputMessage="0" showErrorMessage="0" allowBlank="1" errorTitle="Invalid Answer" error="Please select a valid answer from the dropdown." promptTitle="Q41" prompt="Select one of 4 choices" type="list">
      <formula1>"Within 6 months,6–12 months ago,&gt; 12 months ago,Never tested"</formula1>
    </dataValidation>
    <dataValidation sqref="E43" showDropDown="0" showInputMessage="0" showErrorMessage="0" allowBlank="1" errorTitle="Invalid Answer" error="Please select a valid answer from the dropdown." promptTitle="Q42" prompt="Select one of 4 choices" type="list">
      <formula1>"Yes — log retention and chain of custody documented,Partial — logs retained but no formal process,No forensic readiness,N/A"</formula1>
    </dataValidation>
    <dataValidation sqref="E44" showDropDown="0" showInputMessage="0" showErrorMessage="0" allowBlank="1" errorTitle="Invalid Answer" error="Please select a valid answer from the dropdown." promptTitle="Q43" prompt="Select one of 4 choices" type="list">
      <formula1>"Yes — SaaS / cloud-hosted,Yes — on-premises third-party,No — internally developed,Hybrid"</formula1>
    </dataValidation>
    <dataValidation sqref="E45" showDropDown="0" showInputMessage="0" showErrorMessage="0" allowBlank="1" errorTitle="Invalid Answer" error="Please select a valid answer from the dropdown." promptTitle="Q44" prompt="Select one of 4 choices" type="list">
      <formula1>"Yes — within 12 months,Yes — older than 12 months,No assessment performed,N/A — internal application"</formula1>
    </dataValidation>
    <dataValidation sqref="E46" showDropDown="0" showInputMessage="0" showErrorMessage="0" allowBlank="1" errorTitle="Invalid Answer" error="Please select a valid answer from the dropdown." promptTitle="Q45" prompt="Select one of 4 choices" type="list">
      <formula1>"Yes — comprehensive security addendum,Yes — basic security clauses,No security requirements in contract,N/A"</formula1>
    </dataValidation>
    <dataValidation sqref="E47" showDropDown="0" showInputMessage="0" showErrorMessage="0" allowBlank="1" errorTitle="Invalid Answer" error="Please select a valid answer from the dropdown." promptTitle="Q46" prompt="Select one of 4 choices" type="list">
      <formula1>"Yes — documented with data portability plan,Partial plan,No exit strategy,N/A"</formula1>
    </dataValidation>
    <dataValidation sqref="E48" showDropDown="0" showInputMessage="0" showErrorMessage="0" allowBlank="1" errorTitle="Invalid Answer" error="Please select a valid answer from the dropdown." promptTitle="Q47" prompt="Select one of 4 choices" type="list">
      <formula1>"Yes — defined phases with control gates at each stage,Yes — informal phased approach,No — full deployment without phased controls,N/A"</formula1>
    </dataValidation>
    <dataValidation sqref="E49" showDropDown="0" showInputMessage="0" showErrorMessage="0" allowBlank="1" errorTitle="Invalid Answer" error="Please select a valid answer from the dropdown." promptTitle="Q48" prompt="Select one of 4 choices" type="list">
      <formula1>"Yes — formal AI risk assessment completed,Yes — partial assessment of key risks,Not applicable — no AI/ML capabilities,No — AI risks not assessed"</formula1>
    </dataValidation>
  </dataValidations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0" customWidth="1" min="3" max="3"/>
    <col width="17" customWidth="1" min="4" max="4"/>
    <col width="16" customWidth="1" min="5" max="5"/>
    <col width="13" customWidth="1" min="6" max="6"/>
    <col width="44" customWidth="1" min="7" max="7"/>
  </cols>
  <sheetData>
    <row r="1">
      <c r="A1" s="69" t="inlineStr">
        <is>
          <t>ASR Questionnaire V3 — Risk Assessment Summary</t>
        </is>
      </c>
    </row>
    <row r="2">
      <c r="A2" s="70" t="inlineStr">
        <is>
          <t>Generated 2026-03-03</t>
        </is>
      </c>
    </row>
    <row r="4">
      <c r="A4" s="71" t="inlineStr">
        <is>
          <t>Questions Answered:</t>
        </is>
      </c>
      <c r="B4">
        <f>COUNTIF(Questionnaire!$F$2:$F$49,"&gt;0")</f>
        <v/>
      </c>
      <c r="C4" s="72" t="inlineStr">
        <is>
          <t>of</t>
        </is>
      </c>
      <c r="D4" t="n">
        <v>48</v>
      </c>
    </row>
    <row r="6">
      <c r="A6" s="7" t="inlineStr">
        <is>
          <t>Domain</t>
        </is>
      </c>
      <c r="B6" s="7" t="inlineStr">
        <is>
          <t># Q</t>
        </is>
      </c>
      <c r="C6" s="7" t="inlineStr">
        <is>
          <t>Answered</t>
        </is>
      </c>
      <c r="D6" s="7" t="inlineStr">
        <is>
          <t>RSK Raw (0–134)</t>
        </is>
      </c>
      <c r="E6" s="7" t="inlineStr">
        <is>
          <t>Norm % (0–100)</t>
        </is>
      </c>
      <c r="F6" s="7" t="inlineStr">
        <is>
          <t>Rating</t>
        </is>
      </c>
      <c r="G6" s="7" t="inlineStr">
        <is>
          <t>Policy / CSF References</t>
        </is>
      </c>
    </row>
    <row r="7">
      <c r="A7" s="73" t="inlineStr">
        <is>
          <t>Governance and Program Management</t>
        </is>
      </c>
      <c r="B7" s="74" t="n">
        <v>12</v>
      </c>
      <c r="C7" s="74">
        <f>COUNTIF(Questionnaire!$F$2:$F$13,"&gt;0")</f>
        <v/>
      </c>
      <c r="D7" s="75">
        <f>IF(SUM(Questionnaire!$F$2:$F$13)=0,0,CEILING(LARGE(Questionnaire!$F$2:$F$13,1)+LARGE(Questionnaire!$F$2:$F$13,2)/4+LARGE(Questionnaire!$F$2:$F$13,3)/16+LARGE(Questionnaire!$F$2:$F$13,4)/64+LARGE(Questionnaire!$F$2:$F$13,5)/256+LARGE(Questionnaire!$F$2:$F$13,6)/1024+LARGE(Questionnaire!$F$2:$F$13,7)/4096+LARGE(Questionnaire!$F$2:$F$13,8)/16384+LARGE(Questionnaire!$F$2:$F$13,9)/65536+LARGE(Questionnaire!$F$2:$F$13,10)/262144+LARGE(Questionnaire!$F$2:$F$13,11)/1048576+LARGE(Questionnaire!$F$2:$F$13,12)/4194304,1))</f>
        <v/>
      </c>
      <c r="E7" s="76">
        <f>IF(D7=0,0,MIN(100,ROUND(D7/134*100,1)))</f>
        <v/>
      </c>
      <c r="F7" s="74">
        <f>IF(E7=0,"",IF(E7&lt;=25,"Low",IF(E7&lt;=50,"Moderate",IF(E7&lt;=75,"Elevated","Critical"))))</f>
        <v/>
      </c>
      <c r="G7" s="77" t="inlineStr">
        <is>
          <t>ISP 1.0, ISP 2.1, ISP 2.4, ISP 2.5  |  GV.OC, GV.PO, GV.OV</t>
        </is>
      </c>
    </row>
    <row r="8">
      <c r="A8" s="78" t="inlineStr">
        <is>
          <t>Identity and Access Management</t>
        </is>
      </c>
      <c r="B8" s="79" t="n">
        <v>5</v>
      </c>
      <c r="C8" s="79">
        <f>COUNTIF(Questionnaire!$F$14:$F$18,"&gt;0")</f>
        <v/>
      </c>
      <c r="D8" s="80">
        <f>IF(SUM(Questionnaire!$F$14:$F$18)=0,0,CEILING(LARGE(Questionnaire!$F$14:$F$18,1)+LARGE(Questionnaire!$F$14:$F$18,2)/4+LARGE(Questionnaire!$F$14:$F$18,3)/16+LARGE(Questionnaire!$F$14:$F$18,4)/64+LARGE(Questionnaire!$F$14:$F$18,5)/256,1))</f>
        <v/>
      </c>
      <c r="E8" s="81">
        <f>IF(D8=0,0,MIN(100,ROUND(D8/134*100,1)))</f>
        <v/>
      </c>
      <c r="F8" s="79">
        <f>IF(E8=0,"",IF(E8&lt;=25,"Low",IF(E8&lt;=50,"Moderate",IF(E8&lt;=75,"Elevated","Critical"))))</f>
        <v/>
      </c>
      <c r="G8" s="82" t="inlineStr">
        <is>
          <t>ISP 4.1, ISP 2.3, IISP 8.0  |  PR.AA</t>
        </is>
      </c>
    </row>
    <row r="9">
      <c r="A9" s="83" t="inlineStr">
        <is>
          <t>Data Protection and Privacy</t>
        </is>
      </c>
      <c r="B9" s="84" t="n">
        <v>6</v>
      </c>
      <c r="C9" s="84">
        <f>COUNTIF(Questionnaire!$F$19:$F$24,"&gt;0")</f>
        <v/>
      </c>
      <c r="D9" s="85">
        <f>IF(SUM(Questionnaire!$F$19:$F$24)=0,0,CEILING(LARGE(Questionnaire!$F$19:$F$24,1)+LARGE(Questionnaire!$F$19:$F$24,2)/4+LARGE(Questionnaire!$F$19:$F$24,3)/16+LARGE(Questionnaire!$F$19:$F$24,4)/64+LARGE(Questionnaire!$F$19:$F$24,5)/256+LARGE(Questionnaire!$F$19:$F$24,6)/1024,1))</f>
        <v/>
      </c>
      <c r="E9" s="86">
        <f>IF(D9=0,0,MIN(100,ROUND(D9/134*100,1)))</f>
        <v/>
      </c>
      <c r="F9" s="84">
        <f>IF(E9=0,"",IF(E9&lt;=25,"Low",IF(E9&lt;=50,"Moderate",IF(E9&lt;=75,"Elevated","Critical"))))</f>
        <v/>
      </c>
      <c r="G9" s="87" t="inlineStr">
        <is>
          <t>ISP 4.3, IISP 2.0, IISP 3.0  |  PR.DS</t>
        </is>
      </c>
    </row>
    <row r="10">
      <c r="A10" s="88" t="inlineStr">
        <is>
          <t>Secure Development and Change Management</t>
        </is>
      </c>
      <c r="B10" s="89" t="n">
        <v>7</v>
      </c>
      <c r="C10" s="89">
        <f>COUNTIF(Questionnaire!$F$25:$F$31,"&gt;0")</f>
        <v/>
      </c>
      <c r="D10" s="90">
        <f>IF(SUM(Questionnaire!$F$25:$F$31)=0,0,CEILING(LARGE(Questionnaire!$F$25:$F$31,1)+LARGE(Questionnaire!$F$25:$F$31,2)/4+LARGE(Questionnaire!$F$25:$F$31,3)/16+LARGE(Questionnaire!$F$25:$F$31,4)/64+LARGE(Questionnaire!$F$25:$F$31,5)/256+LARGE(Questionnaire!$F$25:$F$31,6)/1024+LARGE(Questionnaire!$F$25:$F$31,7)/4096,1))</f>
        <v/>
      </c>
      <c r="E10" s="91">
        <f>IF(D10=0,0,MIN(100,ROUND(D10/134*100,1)))</f>
        <v/>
      </c>
      <c r="F10" s="89">
        <f>IF(E10=0,"",IF(E10&lt;=25,"Low",IF(E10&lt;=50,"Moderate",IF(E10&lt;=75,"Elevated","Critical"))))</f>
        <v/>
      </c>
      <c r="G10" s="92" t="inlineStr">
        <is>
          <t>ISP 4.4, IISP 9.0  |  PR.PS</t>
        </is>
      </c>
    </row>
    <row r="11">
      <c r="A11" s="93" t="inlineStr">
        <is>
          <t>Vulnerability and Threat Management</t>
        </is>
      </c>
      <c r="B11" s="94" t="n">
        <v>7</v>
      </c>
      <c r="C11" s="94">
        <f>COUNTIF(Questionnaire!$F$32:$F$38,"&gt;0")</f>
        <v/>
      </c>
      <c r="D11" s="95">
        <f>IF(SUM(Questionnaire!$F$32:$F$38)=0,0,CEILING(LARGE(Questionnaire!$F$32:$F$38,1)+LARGE(Questionnaire!$F$32:$F$38,2)/4+LARGE(Questionnaire!$F$32:$F$38,3)/16+LARGE(Questionnaire!$F$32:$F$38,4)/64+LARGE(Questionnaire!$F$32:$F$38,5)/256+LARGE(Questionnaire!$F$32:$F$38,6)/1024+LARGE(Questionnaire!$F$32:$F$38,7)/4096,1))</f>
        <v/>
      </c>
      <c r="E11" s="96">
        <f>IF(D11=0,0,MIN(100,ROUND(D11/134*100,1)))</f>
        <v/>
      </c>
      <c r="F11" s="94">
        <f>IF(E11=0,"",IF(E11&lt;=25,"Low",IF(E11&lt;=50,"Moderate",IF(E11&lt;=75,"Elevated","Critical"))))</f>
        <v/>
      </c>
      <c r="G11" s="97" t="inlineStr">
        <is>
          <t>IISP 7.0, ISP 3.2, ISP 5.1  |  ID.RA, DE.CM</t>
        </is>
      </c>
    </row>
    <row r="12">
      <c r="A12" s="98" t="inlineStr">
        <is>
          <t>Incident Response and Business Continuity</t>
        </is>
      </c>
      <c r="B12" s="99" t="n">
        <v>5</v>
      </c>
      <c r="C12" s="99">
        <f>COUNTIF(Questionnaire!$F$39:$F$43,"&gt;0")</f>
        <v/>
      </c>
      <c r="D12" s="100">
        <f>IF(SUM(Questionnaire!$F$39:$F$43)=0,0,CEILING(LARGE(Questionnaire!$F$39:$F$43,1)+LARGE(Questionnaire!$F$39:$F$43,2)/4+LARGE(Questionnaire!$F$39:$F$43,3)/16+LARGE(Questionnaire!$F$39:$F$43,4)/64+LARGE(Questionnaire!$F$39:$F$43,5)/256,1))</f>
        <v/>
      </c>
      <c r="E12" s="101">
        <f>IF(D12=0,0,MIN(100,ROUND(D12/134*100,1)))</f>
        <v/>
      </c>
      <c r="F12" s="99">
        <f>IF(E12=0,"",IF(E12&lt;=25,"Low",IF(E12&lt;=50,"Moderate",IF(E12&lt;=75,"Elevated","Critical"))))</f>
        <v/>
      </c>
      <c r="G12" s="102" t="inlineStr">
        <is>
          <t>ISP 6.1, ISP 6.2, IISP 1.0, IISP 10.0  |  RS.MA, RS.AN, RC.RP</t>
        </is>
      </c>
    </row>
    <row r="13">
      <c r="A13" s="103" t="inlineStr">
        <is>
          <t>Third-Party and Supply Chain Risk</t>
        </is>
      </c>
      <c r="B13" s="104" t="n">
        <v>6</v>
      </c>
      <c r="C13" s="104">
        <f>COUNTIF(Questionnaire!$F$44:$F$49,"&gt;0")</f>
        <v/>
      </c>
      <c r="D13" s="105">
        <f>IF(SUM(Questionnaire!$F$44:$F$49)=0,0,CEILING(LARGE(Questionnaire!$F$44:$F$49,1)+LARGE(Questionnaire!$F$44:$F$49,2)/4+LARGE(Questionnaire!$F$44:$F$49,3)/16+LARGE(Questionnaire!$F$44:$F$49,4)/64+LARGE(Questionnaire!$F$44:$F$49,5)/256+LARGE(Questionnaire!$F$44:$F$49,6)/1024,1))</f>
        <v/>
      </c>
      <c r="E13" s="106">
        <f>IF(D13=0,0,MIN(100,ROUND(D13/134*100,1)))</f>
        <v/>
      </c>
      <c r="F13" s="104">
        <f>IF(E13=0,"",IF(E13&lt;=25,"Low",IF(E13&lt;=50,"Moderate",IF(E13&lt;=75,"Elevated","Critical"))))</f>
        <v/>
      </c>
      <c r="G13" s="107" t="inlineStr">
        <is>
          <t>ISP 2.6  |  GV.SC</t>
        </is>
      </c>
    </row>
    <row r="14">
      <c r="A14" s="108" t="inlineStr">
        <is>
          <t>OVERALL</t>
        </is>
      </c>
      <c r="B14" s="109" t="n">
        <v>48</v>
      </c>
      <c r="C14" s="109">
        <f>COUNTIF(Questionnaire!$F$2:$F$49,"&gt;0")</f>
        <v/>
      </c>
      <c r="D14" s="110">
        <f>IF(SUM(Questionnaire!$F$2:$F$49)=0,0,CEILING(LARGE(Questionnaire!$F$2:$F$49,1)+LARGE(Questionnaire!$F$2:$F$49,2)/4+LARGE(Questionnaire!$F$2:$F$49,3)/16+LARGE(Questionnaire!$F$2:$F$49,4)/64+LARGE(Questionnaire!$F$2:$F$49,5)/256+LARGE(Questionnaire!$F$2:$F$49,6)/1024+LARGE(Questionnaire!$F$2:$F$49,7)/4096+LARGE(Questionnaire!$F$2:$F$49,8)/16384+LARGE(Questionnaire!$F$2:$F$49,9)/65536+LARGE(Questionnaire!$F$2:$F$49,10)/262144+LARGE(Questionnaire!$F$2:$F$49,11)/1048576+LARGE(Questionnaire!$F$2:$F$49,12)/4194304,1))</f>
        <v/>
      </c>
      <c r="E14" s="111">
        <f>IF(D14=0,0,MIN(100,ROUND(D14/134*100,1)))</f>
        <v/>
      </c>
      <c r="F14" s="109">
        <f>IF(E14=0,"",IF(E14&lt;=25,"Low",IF(E14&lt;=50,"Moderate",IF(E14&lt;=75,"Elevated","Critical"))))</f>
        <v/>
      </c>
      <c r="G14" s="112" t="n"/>
    </row>
    <row r="16">
      <c r="A16" s="113" t="inlineStr">
        <is>
          <t>Risk Rating Scale</t>
        </is>
      </c>
    </row>
    <row r="17">
      <c r="A17" s="114" t="inlineStr">
        <is>
          <t>0–25%</t>
        </is>
      </c>
      <c r="B17" s="115" t="inlineStr">
        <is>
          <t>Low</t>
        </is>
      </c>
      <c r="C17" s="116" t="inlineStr">
        <is>
          <t>Strong posture — controls mature and effective</t>
        </is>
      </c>
    </row>
    <row r="18">
      <c r="A18" s="117" t="inlineStr">
        <is>
          <t>26–50%</t>
        </is>
      </c>
      <c r="B18" s="118" t="inlineStr">
        <is>
          <t>Moderate</t>
        </is>
      </c>
      <c r="C18" s="119" t="inlineStr">
        <is>
          <t>Adequate — minor gaps with compensating controls</t>
        </is>
      </c>
    </row>
    <row r="19">
      <c r="A19" s="120" t="inlineStr">
        <is>
          <t>51–75%</t>
        </is>
      </c>
      <c r="B19" s="121" t="inlineStr">
        <is>
          <t>Elevated</t>
        </is>
      </c>
      <c r="C19" s="122" t="inlineStr">
        <is>
          <t>Material gaps requiring remediation plans</t>
        </is>
      </c>
    </row>
    <row r="20">
      <c r="A20" s="123" t="inlineStr">
        <is>
          <t>76–100%</t>
        </is>
      </c>
      <c r="B20" s="124" t="inlineStr">
        <is>
          <t>Critical</t>
        </is>
      </c>
      <c r="C20" s="125" t="inlineStr">
        <is>
          <t>Fundamental controls missing or ineffective</t>
        </is>
      </c>
    </row>
    <row r="22">
      <c r="A22" s="113" t="inlineStr">
        <is>
          <t>Application Information</t>
        </is>
      </c>
    </row>
    <row r="23">
      <c r="A23" s="126" t="inlineStr">
        <is>
          <t>Application Name:</t>
        </is>
      </c>
      <c r="B23" s="127" t="n"/>
      <c r="C23" s="128" t="n"/>
      <c r="D23" s="128" t="n"/>
    </row>
    <row r="24">
      <c r="A24" s="126" t="inlineStr">
        <is>
          <t>Business Owner:</t>
        </is>
      </c>
      <c r="B24" s="127" t="n"/>
      <c r="C24" s="128" t="n"/>
      <c r="D24" s="128" t="n"/>
    </row>
    <row r="25">
      <c r="A25" s="126" t="inlineStr">
        <is>
          <t>Technical Owner:</t>
        </is>
      </c>
      <c r="B25" s="127" t="n"/>
      <c r="C25" s="128" t="n"/>
      <c r="D25" s="128" t="n"/>
    </row>
    <row r="26">
      <c r="A26" s="126" t="inlineStr">
        <is>
          <t>CMDB ID:</t>
        </is>
      </c>
      <c r="B26" s="127" t="n"/>
      <c r="C26" s="128" t="n"/>
      <c r="D26" s="128" t="n"/>
    </row>
    <row r="27">
      <c r="A27" s="126" t="inlineStr">
        <is>
          <t>Risk Classification:</t>
        </is>
      </c>
      <c r="B27" s="127" t="n"/>
      <c r="C27" s="128" t="n"/>
      <c r="D27" s="128" t="n"/>
    </row>
    <row r="28">
      <c r="A28" s="126" t="inlineStr">
        <is>
          <t>Assessment Date:</t>
        </is>
      </c>
      <c r="B28" s="127" t="n"/>
      <c r="C28" s="128" t="n"/>
      <c r="D28" s="128" t="n"/>
    </row>
    <row r="29">
      <c r="A29" s="126" t="inlineStr">
        <is>
          <t>Assessor:</t>
        </is>
      </c>
      <c r="B29" s="127" t="n"/>
      <c r="C29" s="128" t="n"/>
      <c r="D29" s="128" t="n"/>
    </row>
  </sheetData>
  <mergeCells count="9">
    <mergeCell ref="B28:D28"/>
    <mergeCell ref="A1:G1"/>
    <mergeCell ref="B23:D23"/>
    <mergeCell ref="B26:D26"/>
    <mergeCell ref="B27:D27"/>
    <mergeCell ref="A2:G2"/>
    <mergeCell ref="B29:D29"/>
    <mergeCell ref="B25:D25"/>
    <mergeCell ref="B24:D24"/>
  </mergeCells>
  <conditionalFormatting sqref="F7:F14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"Elevated"</formula>
    </cfRule>
    <cfRule type="cellIs" priority="4" operator="equal" dxfId="3">
      <formula>"Critical"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57575"/>
    <outlinePr summaryBelow="1" summaryRight="1"/>
    <pageSetUpPr/>
  </sheetPr>
  <dimension ref="A1:A4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RSK/STORM Scoring Model — Technical Reference</t>
        </is>
      </c>
    </row>
    <row r="3">
      <c r="A3" s="4" t="inlineStr">
        <is>
          <t>This sheet documents the proprietary scoring model used in this workbook. It is included for internal reference and MUST NOT be shared with external parties.</t>
        </is>
      </c>
    </row>
    <row r="5">
      <c r="A5" s="3" t="inlineStr">
        <is>
          <t>DIMINISHING-IMPACT COMPOSITE</t>
        </is>
      </c>
    </row>
    <row r="6">
      <c r="A6" s="4" t="inlineStr">
        <is>
          <t>The RSK/STORM function computes a composite score where the most severe finding dominates and subsequent findings contribute progressively less:</t>
        </is>
      </c>
    </row>
    <row r="7">
      <c r="A7" s="129" t="inlineStr">
        <is>
          <t xml:space="preserve">  f(V, a) = ⌈Σ_{j=0}^{n-1}  V_j / a^j⌉</t>
        </is>
      </c>
    </row>
    <row r="8">
      <c r="A8" s="5" t="inlineStr">
        <is>
          <t xml:space="preserve">  where V is sorted descending and a = 4 (damping base).</t>
        </is>
      </c>
    </row>
    <row r="9">
      <c r="A9" s="4" t="inlineStr">
        <is>
          <t>Contributions: j=0 → 100%, j=1 → 25%, j=2 → 6.25%, j=3 → 1.56%, ...</t>
        </is>
      </c>
    </row>
    <row r="10">
      <c r="A10" s="4" t="inlineStr">
        <is>
          <t>Theoretical max:  100 × 4/(4-1) = 133.33  →  ⌈134⌉</t>
        </is>
      </c>
    </row>
    <row r="12">
      <c r="A12" s="3" t="inlineStr">
        <is>
          <t>PER-QUESTION MEASUREMENT</t>
        </is>
      </c>
    </row>
    <row r="13">
      <c r="A13" s="5" t="inlineStr">
        <is>
          <t xml:space="preserve">  raw_score = ⌈100 × choice_position / n_choices⌉</t>
        </is>
      </c>
    </row>
    <row r="14">
      <c r="A14" s="5" t="inlineStr">
        <is>
          <t xml:space="preserve">  measurement = raw_score × (weight_value / 4)</t>
        </is>
      </c>
    </row>
    <row r="15">
      <c r="A15" s="4" t="inlineStr">
        <is>
          <t>Choice 1 is the best answer (lowest score); choice N is the worst (highest score).</t>
        </is>
      </c>
    </row>
    <row r="16">
      <c r="A16" s="4" t="inlineStr"/>
    </row>
    <row r="17">
      <c r="A17" s="3" t="inlineStr">
        <is>
          <t>WEIGHT TIER TABLE</t>
        </is>
      </c>
    </row>
    <row r="18">
      <c r="A18" s="5" t="inlineStr">
        <is>
          <t xml:space="preserve">  Critical    weight = 4   multiplier = 4/4 = 1.00</t>
        </is>
      </c>
    </row>
    <row r="19">
      <c r="A19" s="5" t="inlineStr">
        <is>
          <t xml:space="preserve">  High        weight = 3   multiplier = 3/4 = 0.75</t>
        </is>
      </c>
    </row>
    <row r="20">
      <c r="A20" s="5" t="inlineStr">
        <is>
          <t xml:space="preserve">  Medium      weight = 2   multiplier = 2/4 = 0.50</t>
        </is>
      </c>
    </row>
    <row r="21">
      <c r="A21" s="5" t="inlineStr">
        <is>
          <t xml:space="preserve">  Info        weight = 1   multiplier = 1/4 = 0.25</t>
        </is>
      </c>
    </row>
    <row r="22">
      <c r="A22" s="4" t="inlineStr"/>
    </row>
    <row r="23">
      <c r="A23" s="3" t="inlineStr">
        <is>
          <t>NORMALIZATION</t>
        </is>
      </c>
    </row>
    <row r="24">
      <c r="A24" s="5" t="inlineStr">
        <is>
          <t xml:space="preserve">  norm% = min(100, raw_aggregate / 134 × 100)</t>
        </is>
      </c>
    </row>
    <row r="25">
      <c r="A25" s="4" t="inlineStr">
        <is>
          <t>Maps the 0–134 raw RSK range to a 0–100% scale for comparison.</t>
        </is>
      </c>
    </row>
    <row r="27">
      <c r="A27" s="3" t="inlineStr">
        <is>
          <t>WORKED EXAMPLE</t>
        </is>
      </c>
    </row>
    <row r="28">
      <c r="A28" s="4" t="inlineStr">
        <is>
          <t>Suppose a domain has 4 answered questions with measurements: 75, 50, 37.5, 25</t>
        </is>
      </c>
    </row>
    <row r="29">
      <c r="A29" s="4" t="inlineStr">
        <is>
          <t>Sorted descending: [75, 50, 37.5, 25]</t>
        </is>
      </c>
    </row>
    <row r="30">
      <c r="A30" s="4" t="inlineStr">
        <is>
          <t>RSK aggregate = ⌈75/4⁰ + 50/4¹ + 37.5/4² + 25/4³⌉</t>
        </is>
      </c>
    </row>
    <row r="31">
      <c r="A31" s="4" t="inlineStr">
        <is>
          <t xml:space="preserve">             = ⌈75 + 12.5 + 2.34 + 0.39⌉</t>
        </is>
      </c>
    </row>
    <row r="32">
      <c r="A32" s="4" t="inlineStr">
        <is>
          <t xml:space="preserve">             = ⌈90.23⌉ = 91</t>
        </is>
      </c>
    </row>
    <row r="33">
      <c r="A33" s="4" t="inlineStr">
        <is>
          <t>Normalized   = min(100, 91/134×100) = 67.9%</t>
        </is>
      </c>
    </row>
    <row r="34">
      <c r="A34" s="4" t="inlineStr">
        <is>
          <t>Rating       = Elevated (51–75%)</t>
        </is>
      </c>
    </row>
    <row r="35">
      <c r="A35" s="4" t="inlineStr"/>
    </row>
    <row r="37">
      <c r="A37" s="3" t="inlineStr">
        <is>
          <t>RAW SCORE EXAMPLES</t>
        </is>
      </c>
    </row>
    <row r="38">
      <c r="A38" s="5" t="inlineStr">
        <is>
          <t xml:space="preserve">  4 choices → raw scores: [25, 50, 75, 100]</t>
        </is>
      </c>
    </row>
    <row r="39">
      <c r="A39" s="5" t="inlineStr">
        <is>
          <t xml:space="preserve">  5 choices → raw scores: [20, 40, 60, 80, 100]</t>
        </is>
      </c>
    </row>
    <row r="40">
      <c r="A40" s="5" t="inlineStr">
        <is>
          <t xml:space="preserve">  6 choices → raw scores: [17, 34, 50, 67, 84, 100]</t>
        </is>
      </c>
    </row>
    <row r="41">
      <c r="A41" s="4" t="inlineStr"/>
    </row>
    <row r="43">
      <c r="A43" s="3" t="inlineStr">
        <is>
          <t>EXCEL FORMULA IMPLEMENTATION</t>
        </is>
      </c>
    </row>
    <row r="44">
      <c r="A44" s="4" t="inlineStr">
        <is>
          <t>Measurement (column F on Questionnaire sheet):</t>
        </is>
      </c>
    </row>
    <row r="45">
      <c r="A45" s="130" t="inlineStr">
        <is>
          <t xml:space="preserve">  =IF(answer="", 0, nested_IF_for_raw_score × weight_value / 4)</t>
        </is>
      </c>
    </row>
    <row r="46">
      <c r="A46" s="4" t="inlineStr">
        <is>
          <t>Domain RSK aggregate (Summary sheet):</t>
        </is>
      </c>
    </row>
    <row r="47">
      <c r="A47" s="130" t="inlineStr">
        <is>
          <t xml:space="preserve">  =IF(SUM(range)=0, 0, CEILING(LARGE(range,1) + LARGE(range,2)/4 + LARGE(range,3)/16 + ... , 1))</t>
        </is>
      </c>
    </row>
    <row r="48">
      <c r="A48" s="4" t="inlineStr">
        <is>
          <t>Normalization:</t>
        </is>
      </c>
    </row>
    <row r="49">
      <c r="A49" s="130" t="inlineStr">
        <is>
          <t xml:space="preserve">  =MIN(100, ROUND(rsk_raw / 134 × 100, 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2026-03-03T15:52:23Z</dcterms:created>
  <dcterms:modified xmlns:dcterms="http://purl.org/dc/terms/" xmlns:xsi="http://www.w3.org/2001/XMLSchema-instance" xsi:type="dcterms:W3CDTF">2026-03-03T15:52:24Z</dcterms:modified>
</cp:coreProperties>
</file>